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ntasysuperkick/workspace/ccg/datawarehouse/documentation/"/>
    </mc:Choice>
  </mc:AlternateContent>
  <xr:revisionPtr revIDLastSave="0" documentId="8_{76DB9410-EB1F-A246-AE42-267D82F46D16}" xr6:coauthVersionLast="47" xr6:coauthVersionMax="47" xr10:uidLastSave="{00000000-0000-0000-0000-000000000000}"/>
  <bookViews>
    <workbookView xWindow="1460" yWindow="1500" windowWidth="26960" windowHeight="15940" xr2:uid="{63FD3DF8-BE3E-CA4B-9FF3-647869DC27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1" l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<sst xmlns="http://schemas.openxmlformats.org/spreadsheetml/2006/main" count="387" uniqueCount="229">
  <si>
    <t>Table Name</t>
  </si>
  <si>
    <t>Table ID</t>
  </si>
  <si>
    <t>Category</t>
  </si>
  <si>
    <t>Files Source Path</t>
  </si>
  <si>
    <t>Original BC Files Primary Key</t>
  </si>
  <si>
    <t>Original BC Foreign Keys</t>
  </si>
  <si>
    <t>Delta Table Name</t>
  </si>
  <si>
    <t>Delta Source Key</t>
  </si>
  <si>
    <t>Bronze Delta Primary Key</t>
  </si>
  <si>
    <t>Delta Foreign Keys</t>
  </si>
  <si>
    <t>Foreign Key Reference Table and Column</t>
  </si>
  <si>
    <t>FK1</t>
  </si>
  <si>
    <t>FK1 Reference</t>
  </si>
  <si>
    <t>FK2</t>
  </si>
  <si>
    <t>FK2 Reference</t>
  </si>
  <si>
    <t>FK3</t>
  </si>
  <si>
    <t>FK3 Reference</t>
  </si>
  <si>
    <t>FK4</t>
  </si>
  <si>
    <t>FK4 Reference</t>
  </si>
  <si>
    <t>Notes</t>
  </si>
  <si>
    <t>PaymentTerms</t>
  </si>
  <si>
    <t>Reference</t>
  </si>
  <si>
    <t>Files/deltas/PaymentTerms-3</t>
  </si>
  <si>
    <t>Code-1,Description-5,$Company</t>
  </si>
  <si>
    <t>Currency</t>
  </si>
  <si>
    <t>Files/deltas/Currency-4</t>
  </si>
  <si>
    <t>Code-1,Description-15,$Company</t>
  </si>
  <si>
    <t>CustomerPriceGroup</t>
  </si>
  <si>
    <t>Files/deltas/CustomerPriceGroup-6</t>
  </si>
  <si>
    <t>Code-1,Description-10,$Company</t>
  </si>
  <si>
    <t>SalespersonPurchaser</t>
  </si>
  <si>
    <t>Files/deltas/SalespersonPurchaser-13</t>
  </si>
  <si>
    <t>Code-1,Name-2,$Company</t>
  </si>
  <si>
    <t>Location</t>
  </si>
  <si>
    <t>Files/deltas/Location-14</t>
  </si>
  <si>
    <t>same sa ink</t>
  </si>
  <si>
    <t>GLAccount</t>
  </si>
  <si>
    <t>Files/deltas/GLAccount-15</t>
  </si>
  <si>
    <t>GLEntry</t>
  </si>
  <si>
    <t>Transational</t>
  </si>
  <si>
    <t>Files/deltas/GLEntry-17</t>
  </si>
  <si>
    <t>EntryNo-1,$Company</t>
  </si>
  <si>
    <t>G/L Account No., Posting Group, Currency Code</t>
  </si>
  <si>
    <t>G/L Account No. -&gt; bc_GLAccount(No.); Currency Code -&gt; bc_Currency(Code)</t>
  </si>
  <si>
    <t>G/L Account No.</t>
  </si>
  <si>
    <t>bc_GLAccount(No.)</t>
  </si>
  <si>
    <t>Posting Group</t>
  </si>
  <si>
    <t>Currency Code</t>
  </si>
  <si>
    <t>bc_Currency(Code)</t>
  </si>
  <si>
    <t>Customer</t>
  </si>
  <si>
    <t>Files/deltas/Customer-18</t>
  </si>
  <si>
    <t>No-1,Name-2,Address-5,PhoneNo-9,Email-102,$Company</t>
  </si>
  <si>
    <t>Customer Posting Group, Gen. Bus. Posting Group, VAT Bus. Posting Group</t>
  </si>
  <si>
    <t>Customer Posting Group -&gt; bc_CustomerPostingGroup(Code); Gen. Bus. Posting Group -&gt; bc_GenBusinessPostingGroup(Code); VAT Bus. Posting Group -&gt; bc_VATBusinessPostingGroup(Code)</t>
  </si>
  <si>
    <t>Customer Posting Group</t>
  </si>
  <si>
    <t>bc_CustomerPostingGroup(Code)</t>
  </si>
  <si>
    <t>Gen. Bus. Posting Group</t>
  </si>
  <si>
    <t>bc_GenBusinessPostingGroup(Code)</t>
  </si>
  <si>
    <t>VAT Bus. Posting Group</t>
  </si>
  <si>
    <t>bc_VATBusinessPostingGroup(Code)</t>
  </si>
  <si>
    <t>CustLedgerEntry</t>
  </si>
  <si>
    <t>Files/deltas/CustLedgerEntry-21</t>
  </si>
  <si>
    <t>Vendor</t>
  </si>
  <si>
    <t>Files/deltas/Vendor-23</t>
  </si>
  <si>
    <t>No-1,Name-2,Address-5,PhoneNo-9,$Company</t>
  </si>
  <si>
    <t>Vendor Posting Group, Gen. Bus. Posting Group, VAT Bus. Posting Group</t>
  </si>
  <si>
    <t>Vendor Posting Group -&gt; bc_VendorPostingGroup(Code); Gen. Bus. Posting Group -&gt; bc_GenBusinessPostingGroup(Code); VAT Bus. Posting Group -&gt; bc_VATBusinessPostingGroup(Code)</t>
  </si>
  <si>
    <t>Vendor Posting Group</t>
  </si>
  <si>
    <t>bc_VendorPostingGroup(Code)</t>
  </si>
  <si>
    <t>VendorLedgerEntry</t>
  </si>
  <si>
    <t>Files/deltas/VendorLedgerEntry-25</t>
  </si>
  <si>
    <t>Item</t>
  </si>
  <si>
    <t>Files/deltas/Item-27</t>
  </si>
  <si>
    <t>No-1,Description-3,Type-10,$Company</t>
  </si>
  <si>
    <t>Inventory Posting Group, Gen. Prod. Posting Group, VAT Prod. Posting Group</t>
  </si>
  <si>
    <t>Gen. Prod. Posting Group -&gt; bc_GenProductPostingGroup(Code); VAT Prod. Posting Group -&gt; bc_VATProductPostingGroup(Code)</t>
  </si>
  <si>
    <t>Inventory Posting Group</t>
  </si>
  <si>
    <t>Gen. Prod. Posting Group</t>
  </si>
  <si>
    <t>bc_GenProductPostingGroup(Code)</t>
  </si>
  <si>
    <t>VAT Prod. Posting Group</t>
  </si>
  <si>
    <t>bc_VATProductPostingGroup(Code)</t>
  </si>
  <si>
    <t>ItemLedgerEntry</t>
  </si>
  <si>
    <t>Files/deltas/ItemLedgerEntry-32</t>
  </si>
  <si>
    <t>Item No., Location Code, Posting Group</t>
  </si>
  <si>
    <t>Item No. -&gt; bc_Item(No.); Location Code -&gt; bc_Location(Code)</t>
  </si>
  <si>
    <t>Item No.</t>
  </si>
  <si>
    <t>bc_Item(No.)</t>
  </si>
  <si>
    <t>Location Code</t>
  </si>
  <si>
    <t>bc_Location(Code)</t>
  </si>
  <si>
    <t>SalesHeader</t>
  </si>
  <si>
    <t>Files/deltas/SalesHeader-36</t>
  </si>
  <si>
    <t>EntryNo-1,No-3,$Company</t>
  </si>
  <si>
    <t>Sell-to Customer No., Bill-to Customer No., Currency Code, Payment Terms Code</t>
  </si>
  <si>
    <t>Currency Code -&gt; bc_Currency(Code); Payment Terms Code -&gt; bc_PaymentTerms(Code)</t>
  </si>
  <si>
    <t>Sell-to Customer No.</t>
  </si>
  <si>
    <t>Bill-to Customer No.</t>
  </si>
  <si>
    <t>Payment Terms Code</t>
  </si>
  <si>
    <t>bc_PaymentTerms(Code)</t>
  </si>
  <si>
    <t>SalesLine</t>
  </si>
  <si>
    <t>Files/deltas/SalesLine-37</t>
  </si>
  <si>
    <t>Item No., Location Code, Unit of Measure Code</t>
  </si>
  <si>
    <t>Item No. -&gt; bc_Item(No.); Location Code -&gt; bc_Location(Code); Unit of Measure Code -&gt; bc_UnitofMeasure(Code)</t>
  </si>
  <si>
    <t>Unit of Measure Code</t>
  </si>
  <si>
    <t>bc_UnitofMeasure(Code)</t>
  </si>
  <si>
    <t>PurchaseHeader</t>
  </si>
  <si>
    <t>Files/deltas/PurchaseHeader-38</t>
  </si>
  <si>
    <t>Buy-from Vendor No., Pay-to Vendor No., Currency Code, Payment Terms Code</t>
  </si>
  <si>
    <t>Buy-from Vendor No.</t>
  </si>
  <si>
    <t>Pay-to Vendor No.</t>
  </si>
  <si>
    <t>PurchaseLine</t>
  </si>
  <si>
    <t>Files/deltas/PurchaseLine-39</t>
  </si>
  <si>
    <t>DocumentType-1,DocumentNo-3,LineNo-4</t>
  </si>
  <si>
    <t>AccountingPeriod</t>
  </si>
  <si>
    <t>Files/deltas/AccountingPeriod-50</t>
  </si>
  <si>
    <t>StartingDate-1,Name-2,$Company</t>
  </si>
  <si>
    <t>CustomerPostingGroup</t>
  </si>
  <si>
    <t>Files/deltas/CustomerPostingGroup-92</t>
  </si>
  <si>
    <t>Code-1,Description-20,$Company</t>
  </si>
  <si>
    <t>VendorPostingGroup</t>
  </si>
  <si>
    <t>Files/deltas/VendorPostingGroup-93</t>
  </si>
  <si>
    <t>Code-1,Description-2,$Company</t>
  </si>
  <si>
    <t>InventoryPostingGroup</t>
  </si>
  <si>
    <t>Files/deltas/InventoryPostingGroup-94</t>
  </si>
  <si>
    <t>SalesInvoiceHeader</t>
  </si>
  <si>
    <t>Files/deltas/SalesInvoiceHeader-112</t>
  </si>
  <si>
    <t>No-3,$Company</t>
  </si>
  <si>
    <t>SalesInvoiceLine</t>
  </si>
  <si>
    <t>Files/deltas/SalesInvoiceLine-113</t>
  </si>
  <si>
    <t>DocumentNo-3,LineNo-4,$Company</t>
  </si>
  <si>
    <t>PurchInvHeader</t>
  </si>
  <si>
    <t>Files/deltas/PurchInvHeader-122</t>
  </si>
  <si>
    <t>No-1,$Company</t>
  </si>
  <si>
    <t>PurchInvLine</t>
  </si>
  <si>
    <t>Files/deltas/PurchInvLine-123</t>
  </si>
  <si>
    <t>Document No. + Line No.</t>
  </si>
  <si>
    <t>UnitofMeasure</t>
  </si>
  <si>
    <t>Files/deltas/UnitofMeasure-204</t>
  </si>
  <si>
    <t>GenBusinessPostingGroup</t>
  </si>
  <si>
    <t>Files/deltas/GenBusinessPostingGroup-250</t>
  </si>
  <si>
    <t>GenProductPostingGroup</t>
  </si>
  <si>
    <t>Files/deltas/GenProductPostingGroup-251</t>
  </si>
  <si>
    <t>VATBusinessPostingGroup</t>
  </si>
  <si>
    <t>Files/deltas/VATBusinessPostingGroup-323</t>
  </si>
  <si>
    <t>VATProductPostingGroup</t>
  </si>
  <si>
    <t>Files/deltas/VATProductPostingGroup-324</t>
  </si>
  <si>
    <t>Employee</t>
  </si>
  <si>
    <t>Files/deltas/Employee-5200</t>
  </si>
  <si>
    <t>No-1,FirstName-2,Address-8,PhoneNo-13,Email-15,Status-31,$Company</t>
  </si>
  <si>
    <t>FixedAsset</t>
  </si>
  <si>
    <t>Files/deltas/FixedAsset-5600</t>
  </si>
  <si>
    <t>FALedgerEntry</t>
  </si>
  <si>
    <t>Files/deltas/FALedgerEntry-5601</t>
  </si>
  <si>
    <t>Code-1,$Company</t>
  </si>
  <si>
    <t>FAPostingGroup</t>
  </si>
  <si>
    <t>Files/deltas/FAPostingGroup-5606</t>
  </si>
  <si>
    <t>FAClass</t>
  </si>
  <si>
    <t>Files/deltas/FAClass-5607</t>
  </si>
  <si>
    <t>FASubclass</t>
  </si>
  <si>
    <t>Files/deltas/FASubclass-5608</t>
  </si>
  <si>
    <t>FALocation</t>
  </si>
  <si>
    <t>Files/deltas/FALocation-5609</t>
  </si>
  <si>
    <t>DepreciationBook</t>
  </si>
  <si>
    <t>Files/deltas/DepreciationBook-5611</t>
  </si>
  <si>
    <t>FADepreciationBook</t>
  </si>
  <si>
    <t>Files/deltas/FADepreciationBook-5612</t>
  </si>
  <si>
    <t>FANo-1,DepreciationBookCode-2,$Company</t>
  </si>
  <si>
    <t>FARegister</t>
  </si>
  <si>
    <t>Files/deltas/FARegister-5617</t>
  </si>
  <si>
    <t>FAJournalLine</t>
  </si>
  <si>
    <t>Files/deltas/FAJournalLine-5621</t>
  </si>
  <si>
    <t>JournalTemplateName-1,	
JournalBatchName-2,LineNo-3,$Company</t>
  </si>
  <si>
    <t>FAReclassJournalLine</t>
  </si>
  <si>
    <t>Files/deltas/FAReclassJournalLine-5624</t>
  </si>
  <si>
    <t>FAPostingType</t>
  </si>
  <si>
    <t>Files/deltas/FAPostingType-5644</t>
  </si>
  <si>
    <t>FAPostingTypeNo-11,$Company</t>
  </si>
  <si>
    <t>Manufacturer</t>
  </si>
  <si>
    <t>Files/deltas/Manufacturer-5720</t>
  </si>
  <si>
    <t>Code-10,Name-20,$Company</t>
  </si>
  <si>
    <t>ItemCategory</t>
  </si>
  <si>
    <t>Files/deltas/ItemCategory-5722</t>
  </si>
  <si>
    <t>Code-1,Description-3,$Company</t>
  </si>
  <si>
    <t>ValueEntry</t>
  </si>
  <si>
    <t>Files/deltas/ValueEntry-5802</t>
  </si>
  <si>
    <t>Entry No.</t>
  </si>
  <si>
    <t>Item No., Location Code</t>
  </si>
  <si>
    <t>WHTProductPostingGroup</t>
  </si>
  <si>
    <t>Files/deltas/WHTProductPostingGroup-28041</t>
  </si>
  <si>
    <t>code1,description5,company</t>
  </si>
  <si>
    <t>code1,description15,company</t>
  </si>
  <si>
    <t>code1,description10,company</t>
  </si>
  <si>
    <t>code1,name2,company</t>
  </si>
  <si>
    <t>entryno1,company</t>
  </si>
  <si>
    <t>no1,name2,address5,phoneno9,email102,company</t>
  </si>
  <si>
    <t>no1,name2,address5,phoneno9,company</t>
  </si>
  <si>
    <t>no1,description3,type10,company</t>
  </si>
  <si>
    <t>entryno1,no3,company</t>
  </si>
  <si>
    <t>documenttype1,documentno3,lineno4</t>
  </si>
  <si>
    <t>startingdate1,name2,company</t>
  </si>
  <si>
    <t>code1,description20,company</t>
  </si>
  <si>
    <t>code1,description2,company</t>
  </si>
  <si>
    <t>no3,company</t>
  </si>
  <si>
    <t>documentno3,lineno4,company</t>
  </si>
  <si>
    <t>no1,company</t>
  </si>
  <si>
    <t>document no. + line no.</t>
  </si>
  <si>
    <t>no1,firstname2,address8,phoneno13,email15,status31,company</t>
  </si>
  <si>
    <t>code1,company</t>
  </si>
  <si>
    <t>fano1,depreciationbookcode2,company</t>
  </si>
  <si>
    <t>journaltemplatename1,	
journalbatchname2,lineno3,company</t>
  </si>
  <si>
    <t>fapostingtypeno11,company</t>
  </si>
  <si>
    <t>code10,name20,company</t>
  </si>
  <si>
    <t>code1,description3,company</t>
  </si>
  <si>
    <t>entry no.</t>
  </si>
  <si>
    <t>code,description</t>
  </si>
  <si>
    <t>code,name</t>
  </si>
  <si>
    <t>entryno</t>
  </si>
  <si>
    <t>name,address,phoneno,email</t>
  </si>
  <si>
    <t>name,address,phoneno</t>
  </si>
  <si>
    <t>description,type</t>
  </si>
  <si>
    <t>entryno,no</t>
  </si>
  <si>
    <t>documenttype,documentno,lineno</t>
  </si>
  <si>
    <t>startingdate,name</t>
  </si>
  <si>
    <t>no</t>
  </si>
  <si>
    <t>documentno,lineno</t>
  </si>
  <si>
    <t>firstname,address,phoneno,email,status</t>
  </si>
  <si>
    <t>code</t>
  </si>
  <si>
    <t>fano,depreciationbookcode</t>
  </si>
  <si>
    <t>journaltemplatename,	
journalbatchname,lineno</t>
  </si>
  <si>
    <t>fapostingtypeno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</si>
</sst>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FA2E5-859F-6E43-839A-7719D74E51A6}">
  <dimension ref="A1:T48"/>
  <sheetViews>
    <sheetView tabSelected="1" topLeftCell="J1" workbookViewId="0">
      <selection activeCell="K21" sqref="K21"/>
    </sheetView>
  </sheetViews>
  <sheetFormatPr baseColWidth="10" defaultColWidth="8.83203125" defaultRowHeight="16" x14ac:dyDescent="0.2"/>
  <cols>
    <col min="1" max="1" width="24.6640625" bestFit="1" customWidth="1"/>
    <col min="2" max="2" width="12.33203125" style="5" bestFit="1" customWidth="1"/>
    <col min="3" max="3" width="13" bestFit="1" customWidth="1"/>
    <col min="4" max="4" width="40.33203125" bestFit="1" customWidth="1"/>
    <col min="5" max="5" width="58" bestFit="1" customWidth="1"/>
    <col min="6" max="6" width="64.1640625" bestFit="1" customWidth="1"/>
    <col min="7" max="7" width="27.5" bestFit="1" customWidth="1"/>
    <col min="8" max="8" width="52" bestFit="1" customWidth="1"/>
    <col min="9" max="9" width="39" bestFit="1" customWidth="1"/>
    <col min="10" max="10" width="64.1640625" bestFit="1" customWidth="1"/>
    <col min="11" max="11" width="151.33203125" bestFit="1" customWidth="1"/>
    <col min="12" max="12" width="20.33203125" bestFit="1" customWidth="1"/>
    <col min="13" max="13" width="27.33203125" bestFit="1" customWidth="1"/>
    <col min="14" max="14" width="20.83203125" bestFit="1" customWidth="1"/>
    <col min="15" max="15" width="29.5" bestFit="1" customWidth="1"/>
    <col min="16" max="16" width="20.33203125" bestFit="1" customWidth="1"/>
    <col min="17" max="17" width="29.5" bestFit="1" customWidth="1"/>
    <col min="18" max="18" width="17.6640625" bestFit="1" customWidth="1"/>
    <col min="19" max="19" width="20.5" bestFit="1" customWidth="1"/>
    <col min="20" max="20" width="10" bestFit="1" customWidth="1"/>
  </cols>
  <sheetData>
    <row r="1" spans="1:20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ht="17" x14ac:dyDescent="0.2">
      <c r="A2" s="4" t="s">
        <v>20</v>
      </c>
      <c r="B2" s="5" t="str">
        <f t="shared" ref="B2:B48" si="0">TEXT(RIGHT(D2,LEN(D2)-FIND("~",SUBSTITUTE(D2,"-","~",LEN(D2)-LEN(SUBSTITUTE(D2,"-",""))))),"00000")</f>
        <v>00003</v>
      </c>
      <c r="C2" t="s">
        <v>21</v>
      </c>
      <c r="D2" t="s">
        <v>22</v>
      </c>
      <c r="E2" t="s">
        <v>23</v>
      </c>
      <c r="G2" t="str">
        <f>"bc_"&amp;A2</f>
        <v>bc_PaymentTerms</v>
      </c>
      <c r="H2" s="6" t="s">
        <v>188</v>
      </c>
      <c r="I2" t="s">
        <v>213</v>
      </c>
    </row>
    <row r="3" spans="1:20" ht="17" x14ac:dyDescent="0.2">
      <c r="A3" s="4" t="s">
        <v>24</v>
      </c>
      <c r="B3" s="5" t="str">
        <f t="shared" si="0"/>
        <v>00004</v>
      </c>
      <c r="C3" t="s">
        <v>21</v>
      </c>
      <c r="D3" t="s">
        <v>25</v>
      </c>
      <c r="E3" t="s">
        <v>26</v>
      </c>
      <c r="G3" t="str">
        <f t="shared" ref="G3:G48" si="1">"bc_"&amp;A3</f>
        <v>bc_Currency</v>
      </c>
      <c r="H3" s="6" t="s">
        <v>189</v>
      </c>
      <c r="I3" t="s">
        <v>213</v>
      </c>
    </row>
    <row r="4" spans="1:20" ht="17" x14ac:dyDescent="0.2">
      <c r="A4" s="4" t="s">
        <v>27</v>
      </c>
      <c r="B4" s="5" t="str">
        <f t="shared" si="0"/>
        <v>00006</v>
      </c>
      <c r="C4" t="s">
        <v>21</v>
      </c>
      <c r="D4" t="s">
        <v>28</v>
      </c>
      <c r="E4" t="s">
        <v>29</v>
      </c>
      <c r="G4" t="str">
        <f t="shared" si="1"/>
        <v>bc_CustomerPriceGroup</v>
      </c>
      <c r="H4" s="6" t="s">
        <v>190</v>
      </c>
      <c r="I4" t="s">
        <v>213</v>
      </c>
    </row>
    <row r="5" spans="1:20" ht="17" x14ac:dyDescent="0.2">
      <c r="A5" s="4" t="s">
        <v>30</v>
      </c>
      <c r="B5" s="5" t="str">
        <f t="shared" si="0"/>
        <v>00013</v>
      </c>
      <c r="C5" t="s">
        <v>21</v>
      </c>
      <c r="D5" t="s">
        <v>31</v>
      </c>
      <c r="E5" t="s">
        <v>32</v>
      </c>
      <c r="G5" t="str">
        <f t="shared" si="1"/>
        <v>bc_SalespersonPurchaser</v>
      </c>
      <c r="H5" s="6" t="s">
        <v>191</v>
      </c>
      <c r="I5" t="s">
        <v>214</v>
      </c>
    </row>
    <row r="6" spans="1:20" ht="17" x14ac:dyDescent="0.2">
      <c r="A6" s="4" t="s">
        <v>33</v>
      </c>
      <c r="B6" s="5" t="str">
        <f t="shared" si="0"/>
        <v>00014</v>
      </c>
      <c r="C6" t="s">
        <v>21</v>
      </c>
      <c r="D6" t="s">
        <v>34</v>
      </c>
      <c r="E6" t="s">
        <v>32</v>
      </c>
      <c r="G6" t="str">
        <f t="shared" si="1"/>
        <v>bc_Location</v>
      </c>
      <c r="H6" s="6" t="s">
        <v>191</v>
      </c>
      <c r="I6" t="s">
        <v>214</v>
      </c>
      <c r="T6" t="s">
        <v>35</v>
      </c>
    </row>
    <row r="7" spans="1:20" ht="17" x14ac:dyDescent="0.2">
      <c r="A7" s="4" t="s">
        <v>36</v>
      </c>
      <c r="B7" s="5" t="str">
        <f t="shared" si="0"/>
        <v>00015</v>
      </c>
      <c r="C7" t="s">
        <v>21</v>
      </c>
      <c r="D7" t="s">
        <v>37</v>
      </c>
      <c r="E7" t="s">
        <v>32</v>
      </c>
      <c r="G7" t="str">
        <f t="shared" si="1"/>
        <v>bc_GLAccount</v>
      </c>
      <c r="H7" s="6" t="s">
        <v>191</v>
      </c>
      <c r="I7" t="s">
        <v>214</v>
      </c>
    </row>
    <row r="8" spans="1:20" ht="17" x14ac:dyDescent="0.2">
      <c r="A8" t="s">
        <v>38</v>
      </c>
      <c r="B8" s="5" t="str">
        <f t="shared" si="0"/>
        <v>00017</v>
      </c>
      <c r="C8" t="s">
        <v>39</v>
      </c>
      <c r="D8" t="s">
        <v>40</v>
      </c>
      <c r="E8" t="s">
        <v>41</v>
      </c>
      <c r="F8" t="s">
        <v>42</v>
      </c>
      <c r="G8" t="str">
        <f t="shared" si="1"/>
        <v>bc_GLEntry</v>
      </c>
      <c r="H8" s="6" t="s">
        <v>192</v>
      </c>
      <c r="I8" t="s">
        <v>215</v>
      </c>
      <c r="J8" t="s">
        <v>42</v>
      </c>
      <c r="K8" t="s">
        <v>43</v>
      </c>
      <c r="L8" t="s">
        <v>44</v>
      </c>
      <c r="M8" t="s">
        <v>45</v>
      </c>
      <c r="N8" t="s">
        <v>46</v>
      </c>
      <c r="P8" t="s">
        <v>47</v>
      </c>
      <c r="Q8" t="s">
        <v>48</v>
      </c>
    </row>
    <row r="9" spans="1:20" ht="17" x14ac:dyDescent="0.2">
      <c r="A9" s="4" t="s">
        <v>49</v>
      </c>
      <c r="B9" s="5" t="str">
        <f t="shared" si="0"/>
        <v>00018</v>
      </c>
      <c r="C9" t="s">
        <v>21</v>
      </c>
      <c r="D9" t="s">
        <v>50</v>
      </c>
      <c r="E9" t="s">
        <v>51</v>
      </c>
      <c r="F9" t="s">
        <v>52</v>
      </c>
      <c r="G9" t="str">
        <f t="shared" si="1"/>
        <v>bc_Customer</v>
      </c>
      <c r="H9" s="6" t="s">
        <v>193</v>
      </c>
      <c r="I9" t="s">
        <v>216</v>
      </c>
      <c r="J9" t="s">
        <v>52</v>
      </c>
      <c r="K9" t="s">
        <v>53</v>
      </c>
      <c r="L9" t="s">
        <v>54</v>
      </c>
      <c r="M9" t="s">
        <v>55</v>
      </c>
      <c r="N9" t="s">
        <v>56</v>
      </c>
      <c r="O9" t="s">
        <v>57</v>
      </c>
      <c r="P9" t="s">
        <v>58</v>
      </c>
      <c r="Q9" t="s">
        <v>59</v>
      </c>
    </row>
    <row r="10" spans="1:20" ht="17" x14ac:dyDescent="0.2">
      <c r="A10" t="s">
        <v>60</v>
      </c>
      <c r="B10" s="5" t="str">
        <f t="shared" si="0"/>
        <v>00021</v>
      </c>
      <c r="C10" t="s">
        <v>39</v>
      </c>
      <c r="D10" t="s">
        <v>61</v>
      </c>
      <c r="E10" t="s">
        <v>41</v>
      </c>
      <c r="G10" t="str">
        <f t="shared" si="1"/>
        <v>bc_CustLedgerEntry</v>
      </c>
      <c r="H10" s="6" t="s">
        <v>192</v>
      </c>
      <c r="I10" t="s">
        <v>215</v>
      </c>
    </row>
    <row r="11" spans="1:20" ht="17" x14ac:dyDescent="0.2">
      <c r="A11" s="4" t="s">
        <v>62</v>
      </c>
      <c r="B11" s="5" t="str">
        <f t="shared" si="0"/>
        <v>00023</v>
      </c>
      <c r="C11" t="s">
        <v>21</v>
      </c>
      <c r="D11" t="s">
        <v>63</v>
      </c>
      <c r="E11" t="s">
        <v>64</v>
      </c>
      <c r="F11" t="s">
        <v>65</v>
      </c>
      <c r="G11" t="str">
        <f t="shared" si="1"/>
        <v>bc_Vendor</v>
      </c>
      <c r="H11" s="6" t="s">
        <v>194</v>
      </c>
      <c r="I11" t="s">
        <v>217</v>
      </c>
      <c r="J11" t="s">
        <v>65</v>
      </c>
      <c r="K11" t="s">
        <v>66</v>
      </c>
      <c r="L11" t="s">
        <v>67</v>
      </c>
      <c r="M11" t="s">
        <v>68</v>
      </c>
      <c r="N11" t="s">
        <v>56</v>
      </c>
      <c r="O11" t="s">
        <v>57</v>
      </c>
      <c r="P11" t="s">
        <v>58</v>
      </c>
      <c r="Q11" t="s">
        <v>59</v>
      </c>
    </row>
    <row r="12" spans="1:20" ht="17" x14ac:dyDescent="0.2">
      <c r="A12" t="s">
        <v>69</v>
      </c>
      <c r="B12" s="5" t="str">
        <f t="shared" si="0"/>
        <v>00025</v>
      </c>
      <c r="C12" t="s">
        <v>39</v>
      </c>
      <c r="D12" t="s">
        <v>70</v>
      </c>
      <c r="E12" t="s">
        <v>41</v>
      </c>
      <c r="G12" t="str">
        <f t="shared" si="1"/>
        <v>bc_VendorLedgerEntry</v>
      </c>
      <c r="H12" s="6" t="s">
        <v>192</v>
      </c>
      <c r="I12" t="s">
        <v>215</v>
      </c>
    </row>
    <row r="13" spans="1:20" ht="17" x14ac:dyDescent="0.2">
      <c r="A13" s="4" t="s">
        <v>71</v>
      </c>
      <c r="B13" s="5" t="str">
        <f t="shared" si="0"/>
        <v>00027</v>
      </c>
      <c r="C13" t="s">
        <v>21</v>
      </c>
      <c r="D13" t="s">
        <v>72</v>
      </c>
      <c r="E13" t="s">
        <v>73</v>
      </c>
      <c r="F13" t="s">
        <v>74</v>
      </c>
      <c r="G13" t="str">
        <f t="shared" si="1"/>
        <v>bc_Item</v>
      </c>
      <c r="H13" s="6" t="s">
        <v>195</v>
      </c>
      <c r="I13" t="s">
        <v>218</v>
      </c>
      <c r="J13" t="s">
        <v>74</v>
      </c>
      <c r="K13" t="s">
        <v>75</v>
      </c>
      <c r="L13" t="s">
        <v>76</v>
      </c>
      <c r="N13" t="s">
        <v>77</v>
      </c>
      <c r="O13" t="s">
        <v>78</v>
      </c>
      <c r="P13" t="s">
        <v>79</v>
      </c>
      <c r="Q13" t="s">
        <v>80</v>
      </c>
    </row>
    <row r="14" spans="1:20" ht="17" x14ac:dyDescent="0.2">
      <c r="A14" t="s">
        <v>81</v>
      </c>
      <c r="B14" s="5" t="str">
        <f t="shared" si="0"/>
        <v>00032</v>
      </c>
      <c r="C14" t="s">
        <v>39</v>
      </c>
      <c r="D14" t="s">
        <v>82</v>
      </c>
      <c r="E14" t="s">
        <v>41</v>
      </c>
      <c r="F14" t="s">
        <v>83</v>
      </c>
      <c r="G14" t="str">
        <f t="shared" si="1"/>
        <v>bc_ItemLedgerEntry</v>
      </c>
      <c r="H14" s="6" t="s">
        <v>192</v>
      </c>
      <c r="I14" t="s">
        <v>215</v>
      </c>
      <c r="J14" t="s">
        <v>83</v>
      </c>
      <c r="K14" t="s">
        <v>84</v>
      </c>
      <c r="L14" t="s">
        <v>85</v>
      </c>
      <c r="M14" t="s">
        <v>86</v>
      </c>
      <c r="N14" t="s">
        <v>87</v>
      </c>
      <c r="O14" t="s">
        <v>88</v>
      </c>
      <c r="P14" t="s">
        <v>46</v>
      </c>
    </row>
    <row r="15" spans="1:20" ht="17" x14ac:dyDescent="0.2">
      <c r="A15" t="s">
        <v>89</v>
      </c>
      <c r="B15" s="5" t="str">
        <f t="shared" si="0"/>
        <v>00036</v>
      </c>
      <c r="C15" t="s">
        <v>39</v>
      </c>
      <c r="D15" t="s">
        <v>90</v>
      </c>
      <c r="E15" t="s">
        <v>91</v>
      </c>
      <c r="F15" t="s">
        <v>92</v>
      </c>
      <c r="G15" t="str">
        <f t="shared" si="1"/>
        <v>bc_SalesHeader</v>
      </c>
      <c r="H15" s="6" t="s">
        <v>196</v>
      </c>
      <c r="I15" t="s">
        <v>219</v>
      </c>
      <c r="J15" t="s">
        <v>92</v>
      </c>
      <c r="K15" t="s">
        <v>93</v>
      </c>
      <c r="L15" t="s">
        <v>94</v>
      </c>
      <c r="N15" t="s">
        <v>95</v>
      </c>
      <c r="P15" t="s">
        <v>47</v>
      </c>
      <c r="Q15" t="s">
        <v>48</v>
      </c>
      <c r="R15" t="s">
        <v>96</v>
      </c>
      <c r="S15" t="s">
        <v>97</v>
      </c>
    </row>
    <row r="16" spans="1:20" ht="17" x14ac:dyDescent="0.2">
      <c r="A16" t="s">
        <v>98</v>
      </c>
      <c r="B16" s="5" t="str">
        <f t="shared" si="0"/>
        <v>00037</v>
      </c>
      <c r="C16" t="s">
        <v>39</v>
      </c>
      <c r="D16" t="s">
        <v>99</v>
      </c>
      <c r="E16" t="s">
        <v>91</v>
      </c>
      <c r="F16" t="s">
        <v>100</v>
      </c>
      <c r="G16" t="str">
        <f t="shared" si="1"/>
        <v>bc_SalesLine</v>
      </c>
      <c r="H16" s="6" t="s">
        <v>196</v>
      </c>
      <c r="I16" t="s">
        <v>219</v>
      </c>
      <c r="J16" t="s">
        <v>100</v>
      </c>
      <c r="K16" t="s">
        <v>101</v>
      </c>
      <c r="L16" t="s">
        <v>85</v>
      </c>
      <c r="M16" t="s">
        <v>86</v>
      </c>
      <c r="N16" t="s">
        <v>87</v>
      </c>
      <c r="O16" t="s">
        <v>88</v>
      </c>
      <c r="P16" t="s">
        <v>102</v>
      </c>
      <c r="Q16" t="s">
        <v>103</v>
      </c>
    </row>
    <row r="17" spans="1:19" ht="17" x14ac:dyDescent="0.2">
      <c r="A17" t="s">
        <v>104</v>
      </c>
      <c r="B17" s="5" t="str">
        <f t="shared" si="0"/>
        <v>00038</v>
      </c>
      <c r="C17" t="s">
        <v>39</v>
      </c>
      <c r="D17" t="s">
        <v>105</v>
      </c>
      <c r="E17" t="s">
        <v>91</v>
      </c>
      <c r="F17" t="s">
        <v>106</v>
      </c>
      <c r="G17" t="str">
        <f t="shared" si="1"/>
        <v>bc_PurchaseHeader</v>
      </c>
      <c r="H17" s="6" t="s">
        <v>196</v>
      </c>
      <c r="I17" t="s">
        <v>219</v>
      </c>
      <c r="J17" t="s">
        <v>106</v>
      </c>
      <c r="K17" t="s">
        <v>93</v>
      </c>
      <c r="L17" t="s">
        <v>107</v>
      </c>
      <c r="N17" t="s">
        <v>108</v>
      </c>
      <c r="P17" t="s">
        <v>47</v>
      </c>
      <c r="Q17" t="s">
        <v>48</v>
      </c>
      <c r="R17" t="s">
        <v>96</v>
      </c>
      <c r="S17" t="s">
        <v>97</v>
      </c>
    </row>
    <row r="18" spans="1:19" ht="17" x14ac:dyDescent="0.2">
      <c r="A18" t="s">
        <v>109</v>
      </c>
      <c r="B18" s="5" t="str">
        <f t="shared" si="0"/>
        <v>00039</v>
      </c>
      <c r="C18" t="s">
        <v>39</v>
      </c>
      <c r="D18" t="s">
        <v>110</v>
      </c>
      <c r="E18" t="s">
        <v>111</v>
      </c>
      <c r="F18" t="s">
        <v>100</v>
      </c>
      <c r="G18" t="str">
        <f t="shared" si="1"/>
        <v>bc_PurchaseLine</v>
      </c>
      <c r="H18" s="6" t="s">
        <v>197</v>
      </c>
      <c r="I18" t="s">
        <v>220</v>
      </c>
      <c r="J18" t="s">
        <v>100</v>
      </c>
      <c r="K18" t="s">
        <v>101</v>
      </c>
      <c r="L18" t="s">
        <v>85</v>
      </c>
      <c r="M18" t="s">
        <v>86</v>
      </c>
      <c r="N18" t="s">
        <v>87</v>
      </c>
      <c r="O18" t="s">
        <v>88</v>
      </c>
      <c r="P18" t="s">
        <v>102</v>
      </c>
      <c r="Q18" t="s">
        <v>103</v>
      </c>
    </row>
    <row r="19" spans="1:19" ht="17" x14ac:dyDescent="0.2">
      <c r="A19" s="4" t="s">
        <v>112</v>
      </c>
      <c r="B19" s="5" t="str">
        <f t="shared" si="0"/>
        <v>00050</v>
      </c>
      <c r="C19" t="s">
        <v>21</v>
      </c>
      <c r="D19" t="s">
        <v>113</v>
      </c>
      <c r="E19" s="6" t="s">
        <v>114</v>
      </c>
      <c r="G19" t="str">
        <f t="shared" si="1"/>
        <v>bc_AccountingPeriod</v>
      </c>
      <c r="H19" s="6" t="s">
        <v>198</v>
      </c>
      <c r="I19" t="s">
        <v>221</v>
      </c>
    </row>
    <row r="20" spans="1:19" ht="17" x14ac:dyDescent="0.2">
      <c r="A20" s="4" t="s">
        <v>115</v>
      </c>
      <c r="B20" s="5" t="str">
        <f t="shared" si="0"/>
        <v>00092</v>
      </c>
      <c r="C20" t="s">
        <v>21</v>
      </c>
      <c r="D20" t="s">
        <v>116</v>
      </c>
      <c r="E20" t="s">
        <v>117</v>
      </c>
      <c r="G20" t="str">
        <f t="shared" si="1"/>
        <v>bc_CustomerPostingGroup</v>
      </c>
      <c r="H20" s="6" t="s">
        <v>199</v>
      </c>
      <c r="I20" t="s">
        <v>213</v>
      </c>
    </row>
    <row r="21" spans="1:19" ht="17" x14ac:dyDescent="0.2">
      <c r="A21" s="4" t="s">
        <v>118</v>
      </c>
      <c r="B21" s="5" t="str">
        <f t="shared" si="0"/>
        <v>00093</v>
      </c>
      <c r="C21" t="s">
        <v>21</v>
      </c>
      <c r="D21" t="s">
        <v>119</v>
      </c>
      <c r="E21" t="s">
        <v>120</v>
      </c>
      <c r="G21" t="str">
        <f t="shared" si="1"/>
        <v>bc_VendorPostingGroup</v>
      </c>
      <c r="H21" s="6" t="s">
        <v>200</v>
      </c>
      <c r="I21" t="s">
        <v>213</v>
      </c>
    </row>
    <row r="22" spans="1:19" ht="17" x14ac:dyDescent="0.2">
      <c r="A22" s="4" t="s">
        <v>121</v>
      </c>
      <c r="B22" s="5" t="str">
        <f t="shared" si="0"/>
        <v>00094</v>
      </c>
      <c r="C22" t="s">
        <v>21</v>
      </c>
      <c r="D22" t="s">
        <v>122</v>
      </c>
      <c r="E22" t="s">
        <v>120</v>
      </c>
      <c r="G22" t="str">
        <f t="shared" si="1"/>
        <v>bc_InventoryPostingGroup</v>
      </c>
      <c r="H22" s="6" t="s">
        <v>200</v>
      </c>
      <c r="I22" t="s">
        <v>213</v>
      </c>
    </row>
    <row r="23" spans="1:19" ht="17" x14ac:dyDescent="0.2">
      <c r="A23" t="s">
        <v>123</v>
      </c>
      <c r="B23" s="5" t="str">
        <f t="shared" si="0"/>
        <v>00112</v>
      </c>
      <c r="C23" t="s">
        <v>39</v>
      </c>
      <c r="D23" t="s">
        <v>124</v>
      </c>
      <c r="E23" t="s">
        <v>125</v>
      </c>
      <c r="G23" t="str">
        <f t="shared" si="1"/>
        <v>bc_SalesInvoiceHeader</v>
      </c>
      <c r="H23" s="6" t="s">
        <v>201</v>
      </c>
      <c r="I23" t="s">
        <v>222</v>
      </c>
    </row>
    <row r="24" spans="1:19" ht="17" x14ac:dyDescent="0.2">
      <c r="A24" t="s">
        <v>126</v>
      </c>
      <c r="B24" s="5" t="str">
        <f t="shared" si="0"/>
        <v>00113</v>
      </c>
      <c r="C24" t="s">
        <v>39</v>
      </c>
      <c r="D24" t="s">
        <v>127</v>
      </c>
      <c r="E24" t="s">
        <v>128</v>
      </c>
      <c r="G24" t="str">
        <f t="shared" si="1"/>
        <v>bc_SalesInvoiceLine</v>
      </c>
      <c r="H24" s="6" t="s">
        <v>202</v>
      </c>
      <c r="I24" t="s">
        <v>223</v>
      </c>
    </row>
    <row r="25" spans="1:19" ht="17" x14ac:dyDescent="0.2">
      <c r="A25" t="s">
        <v>129</v>
      </c>
      <c r="B25" s="5" t="str">
        <f t="shared" si="0"/>
        <v>00122</v>
      </c>
      <c r="C25" t="s">
        <v>39</v>
      </c>
      <c r="D25" t="s">
        <v>130</v>
      </c>
      <c r="E25" t="s">
        <v>131</v>
      </c>
      <c r="G25" t="str">
        <f t="shared" si="1"/>
        <v>bc_PurchInvHeader</v>
      </c>
      <c r="H25" s="6" t="s">
        <v>203</v>
      </c>
      <c r="I25" t="s">
        <v>222</v>
      </c>
    </row>
    <row r="26" spans="1:19" ht="17" x14ac:dyDescent="0.2">
      <c r="A26" t="s">
        <v>132</v>
      </c>
      <c r="B26" s="5" t="str">
        <f t="shared" si="0"/>
        <v>00123</v>
      </c>
      <c r="C26" t="s">
        <v>39</v>
      </c>
      <c r="D26" t="s">
        <v>133</v>
      </c>
      <c r="E26" t="s">
        <v>134</v>
      </c>
      <c r="G26" t="str">
        <f t="shared" si="1"/>
        <v>bc_PurchInvLine</v>
      </c>
      <c r="H26" s="6" t="s">
        <v>204</v>
      </c>
      <c r="I26" t="s">
        <v>204</v>
      </c>
    </row>
    <row r="27" spans="1:19" ht="17" x14ac:dyDescent="0.2">
      <c r="A27" s="4" t="s">
        <v>135</v>
      </c>
      <c r="B27" s="5" t="str">
        <f t="shared" si="0"/>
        <v>00204</v>
      </c>
      <c r="C27" t="s">
        <v>21</v>
      </c>
      <c r="D27" t="s">
        <v>136</v>
      </c>
      <c r="E27" t="s">
        <v>120</v>
      </c>
      <c r="G27" t="str">
        <f t="shared" si="1"/>
        <v>bc_UnitofMeasure</v>
      </c>
      <c r="H27" s="6" t="s">
        <v>200</v>
      </c>
      <c r="I27" t="s">
        <v>213</v>
      </c>
    </row>
    <row r="28" spans="1:19" ht="17" x14ac:dyDescent="0.2">
      <c r="A28" s="4" t="s">
        <v>137</v>
      </c>
      <c r="B28" s="5" t="str">
        <f t="shared" si="0"/>
        <v>00250</v>
      </c>
      <c r="C28" t="s">
        <v>21</v>
      </c>
      <c r="D28" t="s">
        <v>138</v>
      </c>
      <c r="E28" t="s">
        <v>120</v>
      </c>
      <c r="G28" t="str">
        <f t="shared" si="1"/>
        <v>bc_GenBusinessPostingGroup</v>
      </c>
      <c r="H28" s="6" t="s">
        <v>200</v>
      </c>
      <c r="I28" t="s">
        <v>213</v>
      </c>
    </row>
    <row r="29" spans="1:19" ht="17" x14ac:dyDescent="0.2">
      <c r="A29" s="4" t="s">
        <v>139</v>
      </c>
      <c r="B29" s="5" t="str">
        <f t="shared" si="0"/>
        <v>00251</v>
      </c>
      <c r="C29" t="s">
        <v>21</v>
      </c>
      <c r="D29" t="s">
        <v>140</v>
      </c>
      <c r="E29" t="s">
        <v>120</v>
      </c>
      <c r="G29" t="str">
        <f t="shared" si="1"/>
        <v>bc_GenProductPostingGroup</v>
      </c>
      <c r="H29" s="6" t="s">
        <v>200</v>
      </c>
      <c r="I29" t="s">
        <v>213</v>
      </c>
    </row>
    <row r="30" spans="1:19" ht="17" x14ac:dyDescent="0.2">
      <c r="A30" s="4" t="s">
        <v>141</v>
      </c>
      <c r="B30" s="5" t="str">
        <f t="shared" si="0"/>
        <v>00323</v>
      </c>
      <c r="C30" t="s">
        <v>21</v>
      </c>
      <c r="D30" t="s">
        <v>142</v>
      </c>
      <c r="E30" t="s">
        <v>120</v>
      </c>
      <c r="G30" t="str">
        <f t="shared" si="1"/>
        <v>bc_VATBusinessPostingGroup</v>
      </c>
      <c r="H30" s="6" t="s">
        <v>200</v>
      </c>
      <c r="I30" t="s">
        <v>213</v>
      </c>
    </row>
    <row r="31" spans="1:19" ht="17" x14ac:dyDescent="0.2">
      <c r="A31" s="4" t="s">
        <v>143</v>
      </c>
      <c r="B31" s="5" t="str">
        <f t="shared" si="0"/>
        <v>00324</v>
      </c>
      <c r="C31" t="s">
        <v>21</v>
      </c>
      <c r="D31" t="s">
        <v>144</v>
      </c>
      <c r="E31" t="s">
        <v>120</v>
      </c>
      <c r="G31" t="str">
        <f t="shared" si="1"/>
        <v>bc_VATProductPostingGroup</v>
      </c>
      <c r="H31" s="6" t="s">
        <v>200</v>
      </c>
      <c r="I31" t="s">
        <v>213</v>
      </c>
    </row>
    <row r="32" spans="1:19" ht="34" x14ac:dyDescent="0.2">
      <c r="A32" s="4" t="s">
        <v>145</v>
      </c>
      <c r="B32" s="5" t="str">
        <f t="shared" si="0"/>
        <v>05200</v>
      </c>
      <c r="C32" t="s">
        <v>21</v>
      </c>
      <c r="D32" t="s">
        <v>146</v>
      </c>
      <c r="E32" t="s">
        <v>147</v>
      </c>
      <c r="G32" t="str">
        <f t="shared" si="1"/>
        <v>bc_Employee</v>
      </c>
      <c r="H32" s="6" t="s">
        <v>205</v>
      </c>
      <c r="I32" t="s">
        <v>224</v>
      </c>
    </row>
    <row r="33" spans="1:15" ht="17" x14ac:dyDescent="0.2">
      <c r="A33" s="4" t="s">
        <v>148</v>
      </c>
      <c r="B33" s="5" t="str">
        <f t="shared" si="0"/>
        <v>05600</v>
      </c>
      <c r="C33" t="s">
        <v>21</v>
      </c>
      <c r="D33" t="s">
        <v>149</v>
      </c>
      <c r="E33" t="s">
        <v>120</v>
      </c>
      <c r="G33" t="str">
        <f t="shared" si="1"/>
        <v>bc_FixedAsset</v>
      </c>
      <c r="H33" s="6" t="s">
        <v>200</v>
      </c>
      <c r="I33" t="s">
        <v>213</v>
      </c>
    </row>
    <row r="34" spans="1:15" ht="17" x14ac:dyDescent="0.2">
      <c r="A34" t="s">
        <v>150</v>
      </c>
      <c r="B34" s="5" t="str">
        <f t="shared" si="0"/>
        <v>05601</v>
      </c>
      <c r="C34" t="s">
        <v>39</v>
      </c>
      <c r="D34" t="s">
        <v>151</v>
      </c>
      <c r="E34" t="s">
        <v>152</v>
      </c>
      <c r="G34" t="str">
        <f t="shared" si="1"/>
        <v>bc_FALedgerEntry</v>
      </c>
      <c r="H34" s="6" t="s">
        <v>206</v>
      </c>
      <c r="I34" t="s">
        <v>225</v>
      </c>
    </row>
    <row r="35" spans="1:15" ht="17" x14ac:dyDescent="0.2">
      <c r="A35" s="4" t="s">
        <v>153</v>
      </c>
      <c r="B35" s="5" t="str">
        <f t="shared" si="0"/>
        <v>05606</v>
      </c>
      <c r="C35" t="s">
        <v>21</v>
      </c>
      <c r="D35" t="s">
        <v>154</v>
      </c>
      <c r="E35" t="s">
        <v>152</v>
      </c>
      <c r="G35" t="str">
        <f t="shared" si="1"/>
        <v>bc_FAPostingGroup</v>
      </c>
      <c r="H35" s="6" t="s">
        <v>206</v>
      </c>
      <c r="I35" t="s">
        <v>225</v>
      </c>
    </row>
    <row r="36" spans="1:15" ht="17" x14ac:dyDescent="0.2">
      <c r="A36" s="4" t="s">
        <v>155</v>
      </c>
      <c r="B36" s="5" t="str">
        <f t="shared" si="0"/>
        <v>05607</v>
      </c>
      <c r="C36" t="s">
        <v>21</v>
      </c>
      <c r="D36" t="s">
        <v>156</v>
      </c>
      <c r="E36" t="s">
        <v>32</v>
      </c>
      <c r="G36" t="str">
        <f t="shared" si="1"/>
        <v>bc_FAClass</v>
      </c>
      <c r="H36" s="6" t="s">
        <v>191</v>
      </c>
      <c r="I36" t="s">
        <v>214</v>
      </c>
    </row>
    <row r="37" spans="1:15" ht="17" x14ac:dyDescent="0.2">
      <c r="A37" s="4" t="s">
        <v>157</v>
      </c>
      <c r="B37" s="5" t="str">
        <f t="shared" si="0"/>
        <v>05608</v>
      </c>
      <c r="C37" t="s">
        <v>21</v>
      </c>
      <c r="D37" t="s">
        <v>158</v>
      </c>
      <c r="E37" t="s">
        <v>32</v>
      </c>
      <c r="G37" t="str">
        <f t="shared" si="1"/>
        <v>bc_FASubclass</v>
      </c>
      <c r="H37" s="6" t="s">
        <v>191</v>
      </c>
      <c r="I37" t="s">
        <v>214</v>
      </c>
    </row>
    <row r="38" spans="1:15" ht="17" x14ac:dyDescent="0.2">
      <c r="A38" s="4" t="s">
        <v>159</v>
      </c>
      <c r="B38" s="5" t="str">
        <f t="shared" si="0"/>
        <v>05609</v>
      </c>
      <c r="C38" t="s">
        <v>21</v>
      </c>
      <c r="D38" t="s">
        <v>160</v>
      </c>
      <c r="E38" t="s">
        <v>32</v>
      </c>
      <c r="G38" t="str">
        <f t="shared" si="1"/>
        <v>bc_FALocation</v>
      </c>
      <c r="H38" s="6" t="s">
        <v>191</v>
      </c>
      <c r="I38" t="s">
        <v>214</v>
      </c>
    </row>
    <row r="39" spans="1:15" ht="17" x14ac:dyDescent="0.2">
      <c r="A39" t="s">
        <v>161</v>
      </c>
      <c r="B39" s="5" t="str">
        <f t="shared" si="0"/>
        <v>05611</v>
      </c>
      <c r="C39" t="s">
        <v>39</v>
      </c>
      <c r="D39" t="s">
        <v>162</v>
      </c>
      <c r="E39" t="s">
        <v>152</v>
      </c>
      <c r="G39" t="str">
        <f t="shared" si="1"/>
        <v>bc_DepreciationBook</v>
      </c>
      <c r="H39" s="6" t="s">
        <v>206</v>
      </c>
      <c r="I39" t="s">
        <v>225</v>
      </c>
    </row>
    <row r="40" spans="1:15" ht="17" x14ac:dyDescent="0.2">
      <c r="A40" t="s">
        <v>163</v>
      </c>
      <c r="B40" s="5" t="str">
        <f t="shared" si="0"/>
        <v>05612</v>
      </c>
      <c r="C40" t="s">
        <v>39</v>
      </c>
      <c r="D40" t="s">
        <v>164</v>
      </c>
      <c r="E40" t="s">
        <v>165</v>
      </c>
      <c r="G40" t="str">
        <f t="shared" si="1"/>
        <v>bc_FADepreciationBook</v>
      </c>
      <c r="H40" s="6" t="s">
        <v>207</v>
      </c>
      <c r="I40" t="s">
        <v>226</v>
      </c>
    </row>
    <row r="41" spans="1:15" ht="17" x14ac:dyDescent="0.2">
      <c r="A41" s="4" t="s">
        <v>166</v>
      </c>
      <c r="B41" s="5" t="str">
        <f t="shared" si="0"/>
        <v>05617</v>
      </c>
      <c r="C41" t="s">
        <v>21</v>
      </c>
      <c r="D41" t="s">
        <v>167</v>
      </c>
      <c r="E41" t="s">
        <v>131</v>
      </c>
      <c r="G41" t="str">
        <f t="shared" si="1"/>
        <v>bc_FARegister</v>
      </c>
      <c r="H41" s="6" t="s">
        <v>203</v>
      </c>
    </row>
    <row r="42" spans="1:15" ht="34" x14ac:dyDescent="0.2">
      <c r="A42" t="s">
        <v>168</v>
      </c>
      <c r="B42" s="5" t="str">
        <f t="shared" si="0"/>
        <v>05621</v>
      </c>
      <c r="C42" t="s">
        <v>39</v>
      </c>
      <c r="D42" t="s">
        <v>169</v>
      </c>
      <c r="E42" s="6" t="s">
        <v>170</v>
      </c>
      <c r="G42" t="str">
        <f t="shared" si="1"/>
        <v>bc_FAJournalLine</v>
      </c>
      <c r="H42" s="6" t="s">
        <v>208</v>
      </c>
      <c r="I42" t="s">
        <v>227</v>
      </c>
    </row>
    <row r="43" spans="1:15" ht="17" x14ac:dyDescent="0.2">
      <c r="A43" t="s">
        <v>171</v>
      </c>
      <c r="B43" s="5" t="str">
        <f t="shared" si="0"/>
        <v>05624</v>
      </c>
      <c r="C43" t="s">
        <v>39</v>
      </c>
      <c r="D43" t="s">
        <v>172</v>
      </c>
      <c r="E43" t="s">
        <v>152</v>
      </c>
      <c r="G43" t="str">
        <f t="shared" si="1"/>
        <v>bc_FAReclassJournalLine</v>
      </c>
      <c r="H43" s="6" t="s">
        <v>206</v>
      </c>
      <c r="I43" t="s">
        <v>225</v>
      </c>
    </row>
    <row r="44" spans="1:15" ht="17" x14ac:dyDescent="0.2">
      <c r="A44" s="4" t="s">
        <v>173</v>
      </c>
      <c r="B44" s="5" t="str">
        <f t="shared" si="0"/>
        <v>05644</v>
      </c>
      <c r="C44" t="s">
        <v>21</v>
      </c>
      <c r="D44" t="s">
        <v>174</v>
      </c>
      <c r="E44" t="s">
        <v>175</v>
      </c>
      <c r="G44" t="str">
        <f t="shared" si="1"/>
        <v>bc_FAPostingType</v>
      </c>
      <c r="H44" s="6" t="s">
        <v>209</v>
      </c>
      <c r="I44" t="s">
        <v>228</v>
      </c>
    </row>
    <row r="45" spans="1:15" ht="17" x14ac:dyDescent="0.2">
      <c r="A45" s="4" t="s">
        <v>176</v>
      </c>
      <c r="B45" s="5" t="str">
        <f t="shared" si="0"/>
        <v>05720</v>
      </c>
      <c r="C45" t="s">
        <v>21</v>
      </c>
      <c r="D45" t="s">
        <v>177</v>
      </c>
      <c r="E45" t="s">
        <v>178</v>
      </c>
      <c r="G45" t="str">
        <f t="shared" si="1"/>
        <v>bc_Manufacturer</v>
      </c>
      <c r="H45" s="6" t="s">
        <v>210</v>
      </c>
      <c r="I45" t="s">
        <v>214</v>
      </c>
    </row>
    <row r="46" spans="1:15" ht="17" x14ac:dyDescent="0.2">
      <c r="A46" s="4" t="s">
        <v>179</v>
      </c>
      <c r="B46" s="5" t="str">
        <f t="shared" si="0"/>
        <v>05722</v>
      </c>
      <c r="C46" t="s">
        <v>21</v>
      </c>
      <c r="D46" t="s">
        <v>180</v>
      </c>
      <c r="E46" t="s">
        <v>181</v>
      </c>
      <c r="G46" t="str">
        <f t="shared" si="1"/>
        <v>bc_ItemCategory</v>
      </c>
      <c r="H46" s="6" t="s">
        <v>211</v>
      </c>
      <c r="I46" t="s">
        <v>213</v>
      </c>
    </row>
    <row r="47" spans="1:15" ht="17" x14ac:dyDescent="0.2">
      <c r="A47" t="s">
        <v>182</v>
      </c>
      <c r="B47" s="5" t="str">
        <f t="shared" si="0"/>
        <v>05802</v>
      </c>
      <c r="C47" t="s">
        <v>39</v>
      </c>
      <c r="D47" t="s">
        <v>183</v>
      </c>
      <c r="E47" t="s">
        <v>184</v>
      </c>
      <c r="F47" t="s">
        <v>185</v>
      </c>
      <c r="G47" t="str">
        <f t="shared" si="1"/>
        <v>bc_ValueEntry</v>
      </c>
      <c r="H47" s="6" t="s">
        <v>212</v>
      </c>
      <c r="I47" t="s">
        <v>212</v>
      </c>
      <c r="J47" t="s">
        <v>185</v>
      </c>
      <c r="K47" t="s">
        <v>84</v>
      </c>
      <c r="L47" t="s">
        <v>85</v>
      </c>
      <c r="M47" t="s">
        <v>86</v>
      </c>
      <c r="N47" t="s">
        <v>87</v>
      </c>
      <c r="O47" t="s">
        <v>88</v>
      </c>
    </row>
    <row r="48" spans="1:15" ht="17" x14ac:dyDescent="0.2">
      <c r="A48" s="4" t="s">
        <v>186</v>
      </c>
      <c r="B48" s="5" t="str">
        <f t="shared" si="0"/>
        <v>28041</v>
      </c>
      <c r="C48" t="s">
        <v>21</v>
      </c>
      <c r="D48" t="s">
        <v>187</v>
      </c>
      <c r="E48" t="s">
        <v>120</v>
      </c>
      <c r="G48" t="str">
        <f t="shared" si="1"/>
        <v>bc_WHTProductPostingGroup</v>
      </c>
      <c r="H48" s="6" t="s">
        <v>200</v>
      </c>
      <c r="I48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Abetz</dc:creator>
  <cp:lastModifiedBy>Charles Abetz</cp:lastModifiedBy>
  <dcterms:created xsi:type="dcterms:W3CDTF">2025-11-25T21:48:35Z</dcterms:created>
  <dcterms:modified xsi:type="dcterms:W3CDTF">2025-11-25T21:56:20Z</dcterms:modified>
</cp:coreProperties>
</file>