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tasysuperkick/workspace/ccg/datawarehouse/documentation/"/>
    </mc:Choice>
  </mc:AlternateContent>
  <xr:revisionPtr revIDLastSave="0" documentId="13_ncr:1_{CD8982A3-0975-DF40-AC91-12240480F17B}" xr6:coauthVersionLast="47" xr6:coauthVersionMax="47" xr10:uidLastSave="{00000000-0000-0000-0000-000000000000}"/>
  <bookViews>
    <workbookView xWindow="1460" yWindow="1500" windowWidth="26960" windowHeight="15940" activeTab="1" xr2:uid="{63FD3DF8-BE3E-CA4B-9FF3-647869DC2764}"/>
  </bookViews>
  <sheets>
    <sheet name="BC" sheetId="1" r:id="rId1"/>
    <sheet name="Histor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8" i="1" l="1"/>
  <c r="B48" i="1"/>
  <c r="G47" i="1"/>
  <c r="B47" i="1"/>
  <c r="G46" i="1"/>
  <c r="B46" i="1"/>
  <c r="G45" i="1"/>
  <c r="B45" i="1"/>
  <c r="G44" i="1"/>
  <c r="B44" i="1"/>
  <c r="G43" i="1"/>
  <c r="B43" i="1"/>
  <c r="G42" i="1"/>
  <c r="B42" i="1"/>
  <c r="G41" i="1"/>
  <c r="B41" i="1"/>
  <c r="G40" i="1"/>
  <c r="B40" i="1"/>
  <c r="G39" i="1"/>
  <c r="B39" i="1"/>
  <c r="G38" i="1"/>
  <c r="B38" i="1"/>
  <c r="G37" i="1"/>
  <c r="B37" i="1"/>
  <c r="G36" i="1"/>
  <c r="B36" i="1"/>
  <c r="G35" i="1"/>
  <c r="B35" i="1"/>
  <c r="G34" i="1"/>
  <c r="B34" i="1"/>
  <c r="G33" i="1"/>
  <c r="B33" i="1"/>
  <c r="G32" i="1"/>
  <c r="B32" i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24" i="1"/>
  <c r="B24" i="1"/>
  <c r="G23" i="1"/>
  <c r="B23" i="1"/>
  <c r="G22" i="1"/>
  <c r="B22" i="1"/>
  <c r="G21" i="1"/>
  <c r="B21" i="1"/>
  <c r="G20" i="1"/>
  <c r="B20" i="1"/>
  <c r="G19" i="1"/>
  <c r="B19" i="1"/>
  <c r="G18" i="1"/>
  <c r="B18" i="1"/>
  <c r="G17" i="1"/>
  <c r="B17" i="1"/>
  <c r="G16" i="1"/>
  <c r="B16" i="1"/>
  <c r="G15" i="1"/>
  <c r="B15" i="1"/>
  <c r="G14" i="1"/>
  <c r="B14" i="1"/>
  <c r="G13" i="1"/>
  <c r="B13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  <c r="G5" i="1"/>
  <c r="B5" i="1"/>
  <c r="G4" i="1"/>
  <c r="B4" i="1"/>
  <c r="G3" i="1"/>
  <c r="B3" i="1"/>
  <c r="G2" i="1"/>
  <c r="B2" i="1"/>
</calcChain>
</file>

<file path=xl/sharedStrings.xml><?xml version="1.0" encoding="utf-8"?>
<sst xmlns="http://schemas.openxmlformats.org/spreadsheetml/2006/main" count="456" uniqueCount="246">
  <si>
    <t>Table Name</t>
  </si>
  <si>
    <t>Table ID</t>
  </si>
  <si>
    <t>Category</t>
  </si>
  <si>
    <t>Files Source Path</t>
  </si>
  <si>
    <t>Original BC Files Primary Key</t>
  </si>
  <si>
    <t>Original BC Foreign Keys</t>
  </si>
  <si>
    <t>Delta Table Name</t>
  </si>
  <si>
    <t>Delta Foreign Keys</t>
  </si>
  <si>
    <t>Foreign Key Reference Table and Column</t>
  </si>
  <si>
    <t>FK1</t>
  </si>
  <si>
    <t>FK1 Reference</t>
  </si>
  <si>
    <t>FK2</t>
  </si>
  <si>
    <t>FK2 Reference</t>
  </si>
  <si>
    <t>FK3</t>
  </si>
  <si>
    <t>FK3 Reference</t>
  </si>
  <si>
    <t>FK4</t>
  </si>
  <si>
    <t>FK4 Reference</t>
  </si>
  <si>
    <t>Notes</t>
  </si>
  <si>
    <t>PaymentTerms</t>
  </si>
  <si>
    <t>Reference</t>
  </si>
  <si>
    <t>Files/deltas/PaymentTerms-3</t>
  </si>
  <si>
    <t>Code-1,Description-5,$Company</t>
  </si>
  <si>
    <t>Currency</t>
  </si>
  <si>
    <t>Files/deltas/Currency-4</t>
  </si>
  <si>
    <t>Code-1,Description-15,$Company</t>
  </si>
  <si>
    <t>CustomerPriceGroup</t>
  </si>
  <si>
    <t>Files/deltas/CustomerPriceGroup-6</t>
  </si>
  <si>
    <t>Code-1,Description-10,$Company</t>
  </si>
  <si>
    <t>SalespersonPurchaser</t>
  </si>
  <si>
    <t>Files/deltas/SalespersonPurchaser-13</t>
  </si>
  <si>
    <t>Code-1,Name-2,$Company</t>
  </si>
  <si>
    <t>Location</t>
  </si>
  <si>
    <t>Files/deltas/Location-14</t>
  </si>
  <si>
    <t>same sa ink</t>
  </si>
  <si>
    <t>GLAccount</t>
  </si>
  <si>
    <t>Files/deltas/GLAccount-15</t>
  </si>
  <si>
    <t>GLEntry</t>
  </si>
  <si>
    <t>Transational</t>
  </si>
  <si>
    <t>Files/deltas/GLEntry-17</t>
  </si>
  <si>
    <t>EntryNo-1,$Company</t>
  </si>
  <si>
    <t>G/L Account No., Posting Group, Currency Code</t>
  </si>
  <si>
    <t>G/L Account No. -&gt; bc_GLAccount(No.); Currency Code -&gt; bc_Currency(Code)</t>
  </si>
  <si>
    <t>G/L Account No.</t>
  </si>
  <si>
    <t>bc_GLAccount(No.)</t>
  </si>
  <si>
    <t>Posting Group</t>
  </si>
  <si>
    <t>Currency Code</t>
  </si>
  <si>
    <t>bc_Currency(Code)</t>
  </si>
  <si>
    <t>Customer</t>
  </si>
  <si>
    <t>Files/deltas/Customer-18</t>
  </si>
  <si>
    <t>No-1,Name-2,Address-5,PhoneNo-9,Email-102,$Company</t>
  </si>
  <si>
    <t>Customer Posting Group, Gen. Bus. Posting Group, VAT Bus. Posting Group</t>
  </si>
  <si>
    <t>Customer Posting Group -&gt; bc_CustomerPostingGroup(Code); Gen. Bus. Posting Group -&gt; bc_GenBusinessPostingGroup(Code); VAT Bus. Posting Group -&gt; bc_VATBusinessPostingGroup(Code)</t>
  </si>
  <si>
    <t>Customer Posting Group</t>
  </si>
  <si>
    <t>bc_CustomerPostingGroup(Code)</t>
  </si>
  <si>
    <t>Gen. Bus. Posting Group</t>
  </si>
  <si>
    <t>bc_GenBusinessPostingGroup(Code)</t>
  </si>
  <si>
    <t>VAT Bus. Posting Group</t>
  </si>
  <si>
    <t>bc_VATBusinessPostingGroup(Code)</t>
  </si>
  <si>
    <t>CustLedgerEntry</t>
  </si>
  <si>
    <t>Files/deltas/CustLedgerEntry-21</t>
  </si>
  <si>
    <t>Vendor</t>
  </si>
  <si>
    <t>Files/deltas/Vendor-23</t>
  </si>
  <si>
    <t>No-1,Name-2,Address-5,PhoneNo-9,$Company</t>
  </si>
  <si>
    <t>Vendor Posting Group, Gen. Bus. Posting Group, VAT Bus. Posting Group</t>
  </si>
  <si>
    <t>Vendor Posting Group -&gt; bc_VendorPostingGroup(Code); Gen. Bus. Posting Group -&gt; bc_GenBusinessPostingGroup(Code); VAT Bus. Posting Group -&gt; bc_VATBusinessPostingGroup(Code)</t>
  </si>
  <si>
    <t>Vendor Posting Group</t>
  </si>
  <si>
    <t>bc_VendorPostingGroup(Code)</t>
  </si>
  <si>
    <t>VendorLedgerEntry</t>
  </si>
  <si>
    <t>Files/deltas/VendorLedgerEntry-25</t>
  </si>
  <si>
    <t>Item</t>
  </si>
  <si>
    <t>Files/deltas/Item-27</t>
  </si>
  <si>
    <t>No-1,Description-3,Type-10,$Company</t>
  </si>
  <si>
    <t>Inventory Posting Group, Gen. Prod. Posting Group, VAT Prod. Posting Group</t>
  </si>
  <si>
    <t>Gen. Prod. Posting Group -&gt; bc_GenProductPostingGroup(Code); VAT Prod. Posting Group -&gt; bc_VATProductPostingGroup(Code)</t>
  </si>
  <si>
    <t>Inventory Posting Group</t>
  </si>
  <si>
    <t>Gen. Prod. Posting Group</t>
  </si>
  <si>
    <t>bc_GenProductPostingGroup(Code)</t>
  </si>
  <si>
    <t>VAT Prod. Posting Group</t>
  </si>
  <si>
    <t>bc_VATProductPostingGroup(Code)</t>
  </si>
  <si>
    <t>ItemLedgerEntry</t>
  </si>
  <si>
    <t>Files/deltas/ItemLedgerEntry-32</t>
  </si>
  <si>
    <t>Item No., Location Code, Posting Group</t>
  </si>
  <si>
    <t>Item No. -&gt; bc_Item(No.); Location Code -&gt; bc_Location(Code)</t>
  </si>
  <si>
    <t>Item No.</t>
  </si>
  <si>
    <t>bc_Item(No.)</t>
  </si>
  <si>
    <t>Location Code</t>
  </si>
  <si>
    <t>bc_Location(Code)</t>
  </si>
  <si>
    <t>SalesHeader</t>
  </si>
  <si>
    <t>Files/deltas/SalesHeader-36</t>
  </si>
  <si>
    <t>EntryNo-1,No-3,$Company</t>
  </si>
  <si>
    <t>Sell-to Customer No., Bill-to Customer No., Currency Code, Payment Terms Code</t>
  </si>
  <si>
    <t>Currency Code -&gt; bc_Currency(Code); Payment Terms Code -&gt; bc_PaymentTerms(Code)</t>
  </si>
  <si>
    <t>Sell-to Customer No.</t>
  </si>
  <si>
    <t>Bill-to Customer No.</t>
  </si>
  <si>
    <t>Payment Terms Code</t>
  </si>
  <si>
    <t>bc_PaymentTerms(Code)</t>
  </si>
  <si>
    <t>SalesLine</t>
  </si>
  <si>
    <t>Files/deltas/SalesLine-37</t>
  </si>
  <si>
    <t>Item No., Location Code, Unit of Measure Code</t>
  </si>
  <si>
    <t>Item No. -&gt; bc_Item(No.); Location Code -&gt; bc_Location(Code); Unit of Measure Code -&gt; bc_UnitofMeasure(Code)</t>
  </si>
  <si>
    <t>Unit of Measure Code</t>
  </si>
  <si>
    <t>bc_UnitofMeasure(Code)</t>
  </si>
  <si>
    <t>PurchaseHeader</t>
  </si>
  <si>
    <t>Files/deltas/PurchaseHeader-38</t>
  </si>
  <si>
    <t>Buy-from Vendor No., Pay-to Vendor No., Currency Code, Payment Terms Code</t>
  </si>
  <si>
    <t>Buy-from Vendor No.</t>
  </si>
  <si>
    <t>Pay-to Vendor No.</t>
  </si>
  <si>
    <t>PurchaseLine</t>
  </si>
  <si>
    <t>Files/deltas/PurchaseLine-39</t>
  </si>
  <si>
    <t>DocumentType-1,DocumentNo-3,LineNo-4</t>
  </si>
  <si>
    <t>AccountingPeriod</t>
  </si>
  <si>
    <t>Files/deltas/AccountingPeriod-50</t>
  </si>
  <si>
    <t>StartingDate-1,Name-2,$Company</t>
  </si>
  <si>
    <t>CustomerPostingGroup</t>
  </si>
  <si>
    <t>Files/deltas/CustomerPostingGroup-92</t>
  </si>
  <si>
    <t>Code-1,Description-20,$Company</t>
  </si>
  <si>
    <t>VendorPostingGroup</t>
  </si>
  <si>
    <t>Files/deltas/VendorPostingGroup-93</t>
  </si>
  <si>
    <t>Code-1,Description-2,$Company</t>
  </si>
  <si>
    <t>InventoryPostingGroup</t>
  </si>
  <si>
    <t>Files/deltas/InventoryPostingGroup-94</t>
  </si>
  <si>
    <t>SalesInvoiceHeader</t>
  </si>
  <si>
    <t>Files/deltas/SalesInvoiceHeader-112</t>
  </si>
  <si>
    <t>No-3,$Company</t>
  </si>
  <si>
    <t>SalesInvoiceLine</t>
  </si>
  <si>
    <t>Files/deltas/SalesInvoiceLine-113</t>
  </si>
  <si>
    <t>DocumentNo-3,LineNo-4,$Company</t>
  </si>
  <si>
    <t>PurchInvHeader</t>
  </si>
  <si>
    <t>Files/deltas/PurchInvHeader-122</t>
  </si>
  <si>
    <t>No-1,$Company</t>
  </si>
  <si>
    <t>PurchInvLine</t>
  </si>
  <si>
    <t>Files/deltas/PurchInvLine-123</t>
  </si>
  <si>
    <t>Document No. + Line No.</t>
  </si>
  <si>
    <t>UnitofMeasure</t>
  </si>
  <si>
    <t>Files/deltas/UnitofMeasure-204</t>
  </si>
  <si>
    <t>GenBusinessPostingGroup</t>
  </si>
  <si>
    <t>Files/deltas/GenBusinessPostingGroup-250</t>
  </si>
  <si>
    <t>GenProductPostingGroup</t>
  </si>
  <si>
    <t>Files/deltas/GenProductPostingGroup-251</t>
  </si>
  <si>
    <t>VATBusinessPostingGroup</t>
  </si>
  <si>
    <t>Files/deltas/VATBusinessPostingGroup-323</t>
  </si>
  <si>
    <t>VATProductPostingGroup</t>
  </si>
  <si>
    <t>Files/deltas/VATProductPostingGroup-324</t>
  </si>
  <si>
    <t>Employee</t>
  </si>
  <si>
    <t>Files/deltas/Employee-5200</t>
  </si>
  <si>
    <t>No-1,FirstName-2,Address-8,PhoneNo-13,Email-15,Status-31,$Company</t>
  </si>
  <si>
    <t>FixedAsset</t>
  </si>
  <si>
    <t>Files/deltas/FixedAsset-5600</t>
  </si>
  <si>
    <t>FALedgerEntry</t>
  </si>
  <si>
    <t>Files/deltas/FALedgerEntry-5601</t>
  </si>
  <si>
    <t>Code-1,$Company</t>
  </si>
  <si>
    <t>FAPostingGroup</t>
  </si>
  <si>
    <t>Files/deltas/FAPostingGroup-5606</t>
  </si>
  <si>
    <t>FAClass</t>
  </si>
  <si>
    <t>Files/deltas/FAClass-5607</t>
  </si>
  <si>
    <t>FASubclass</t>
  </si>
  <si>
    <t>Files/deltas/FASubclass-5608</t>
  </si>
  <si>
    <t>FALocation</t>
  </si>
  <si>
    <t>Files/deltas/FALocation-5609</t>
  </si>
  <si>
    <t>DepreciationBook</t>
  </si>
  <si>
    <t>Files/deltas/DepreciationBook-5611</t>
  </si>
  <si>
    <t>FADepreciationBook</t>
  </si>
  <si>
    <t>Files/deltas/FADepreciationBook-5612</t>
  </si>
  <si>
    <t>FANo-1,DepreciationBookCode-2,$Company</t>
  </si>
  <si>
    <t>FARegister</t>
  </si>
  <si>
    <t>Files/deltas/FARegister-5617</t>
  </si>
  <si>
    <t>FAJournalLine</t>
  </si>
  <si>
    <t>Files/deltas/FAJournalLine-5621</t>
  </si>
  <si>
    <t>JournalTemplateName-1,	
JournalBatchName-2,LineNo-3,$Company</t>
  </si>
  <si>
    <t>FAReclassJournalLine</t>
  </si>
  <si>
    <t>Files/deltas/FAReclassJournalLine-5624</t>
  </si>
  <si>
    <t>FAPostingType</t>
  </si>
  <si>
    <t>Files/deltas/FAPostingType-5644</t>
  </si>
  <si>
    <t>FAPostingTypeNo-11,$Company</t>
  </si>
  <si>
    <t>Manufacturer</t>
  </si>
  <si>
    <t>Files/deltas/Manufacturer-5720</t>
  </si>
  <si>
    <t>Code-10,Name-20,$Company</t>
  </si>
  <si>
    <t>ItemCategory</t>
  </si>
  <si>
    <t>Files/deltas/ItemCategory-5722</t>
  </si>
  <si>
    <t>Code-1,Description-3,$Company</t>
  </si>
  <si>
    <t>ValueEntry</t>
  </si>
  <si>
    <t>Files/deltas/ValueEntry-5802</t>
  </si>
  <si>
    <t>Entry No.</t>
  </si>
  <si>
    <t>Item No., Location Code</t>
  </si>
  <si>
    <t>WHTProductPostingGroup</t>
  </si>
  <si>
    <t>Files/deltas/WHTProductPostingGroup-28041</t>
  </si>
  <si>
    <t>entryno</t>
  </si>
  <si>
    <t>no</t>
  </si>
  <si>
    <t>documentno,lineno</t>
  </si>
  <si>
    <t>code</t>
  </si>
  <si>
    <t>Bronze Deduplicate Keys</t>
  </si>
  <si>
    <t>code, name</t>
  </si>
  <si>
    <t>code, description</t>
  </si>
  <si>
    <t>entryno, company</t>
  </si>
  <si>
    <t>phoneno, address, mobilephoneno</t>
  </si>
  <si>
    <t>phoneno, address, mobilephoneno, abn</t>
  </si>
  <si>
    <t>no, company</t>
  </si>
  <si>
    <t>entryno,company</t>
  </si>
  <si>
    <t>documentNo, lineNo</t>
  </si>
  <si>
    <t>documentNo, lineNo, company</t>
  </si>
  <si>
    <t>startingdate,name, company</t>
  </si>
  <si>
    <t>Bronze Source  Key (used to capture unmapped columns that aren't in BC)</t>
  </si>
  <si>
    <t>Bronze Source Keys</t>
  </si>
  <si>
    <t>code, description, company, source_system</t>
  </si>
  <si>
    <t>code, name, company, source_system</t>
  </si>
  <si>
    <t>entryno,company,source_system</t>
  </si>
  <si>
    <t>no, company,source_system</t>
  </si>
  <si>
    <t>Entity</t>
  </si>
  <si>
    <t>entryno, vendorNo, company</t>
  </si>
  <si>
    <t>entryno,itemno,company,source_system</t>
  </si>
  <si>
    <t>entryno, itemno,company</t>
  </si>
  <si>
    <t>documentno, Lineno,company, source_system</t>
  </si>
  <si>
    <t>Prescriber</t>
  </si>
  <si>
    <t>Facility</t>
  </si>
  <si>
    <t>document no,  line no.</t>
  </si>
  <si>
    <t>JobTitle</t>
  </si>
  <si>
    <t>Bronze Source Foreign Keys</t>
  </si>
  <si>
    <t>city, postcode, county, countryregion, basecalendarcode, shipmentbincode, receiptbincode, adjustmentbincode, putawaybinpolicy, pickbinpolicy, bincapacitycode, pickbinpolicy</t>
  </si>
  <si>
    <t>accounttype, globaldimenson1code, globaldimenson2code, accountcategory</t>
  </si>
  <si>
    <t>glaccountno,documenttype, globaldimenson1code, globaldimenson2code, sourcecode,sourcetype</t>
  </si>
  <si>
    <t>city, postcode, globaldimenson1code, globaldimenson2code, customerpostinggroup, customerpricinggroup, languagecode, paymenttermscode, salespersoncode, shipmentmethodcode, shippingagentcode,  customerdiscgroup, countryregioncode,  billtocustomerno, locationcode, contacttype</t>
  </si>
  <si>
    <t>customerno, documenttype, selltocustomerno, customerpostinggroup, globaldimenson1code, globaldimenson2code, salespersoncode, sourcecode,  balaccounttype, balaccountno</t>
  </si>
  <si>
    <t>city, postcode, globaldimenson1code, globaldimenson2code, vendorpostinggroup, currencycode, languagecode, paymenttermscode, purchasercode, shipmentmethodcode, shippingagentcode,  paytovendorno, paymentmethodcode, countryregioncode</t>
  </si>
  <si>
    <t>documenttype, vendorno,  buyfromvendorno, globaldimenson1code, globaldimenson2code, purchasercode, sourcecode, balaccounttype</t>
  </si>
  <si>
    <t>baseunitofmeasure,  type, inventorypostinggroup, shelfno, itemdiscgroup, vendorno, countryregionpurchasedcode,  globaldimenson1code, globaldimenson2code, flusingmethod,  salesunitofmeasure, purchaseunitofmeasure, reorderingpolicy, manufacturingpolicy, itemcategorycode,  itemtrackingcode, subscriptionoption</t>
  </si>
  <si>
    <t>itemno, entrytype, sourceno, locationcode,  globaldimenson1code, globaldimenson2code,  shptmethodcode, sourcetype, unitofmeasure, itemtracking, packageno</t>
  </si>
  <si>
    <t xml:space="preserve">documenttype, selltocustomerno, billtocustomerno, billtocity,  shiptocity, paymenttermscode, shipmentmethodcode, locationcode,  shortcutdimenson1code shortcutdimenson2code, customerpostinggroup,  currencycode, customerpricinggroup,  customerdiscgroup, languagecode, salespersoncode, genbuspostingroup,  transactiontype, transportmethod,  vatcountryregioncode, selltocity,  billtopostcode, billtocounty, billtocountryregioncode, selltopostcode, selltocounty, selltocountryregioncode,  balaccounttype,  prepmtpaytermscode, selltocontactno, billtocontactno,  responsibilitycenter,  shippingadvice </t>
  </si>
  <si>
    <t xml:space="preserve">documenttype, buyfromvendorno, paytovendorno,  paytocity,  shiptocode, shiptocity, paymenttermscode, locationcode,  shortcutdimenson1code, shortcutdimenson2code, vendorpostinggroup, currencycode,  purchasercode,  selltocustomerno, reasoncode, genbuspostinggroup, transactiontype, transportmethod, vatcountryregioncode,  buyfromcity, paytopostcode, paytocounty,  buyfrompostcode, buyfromcounty, shiptopostcode, shiptocounty,  shiptocountryregioncode, balaccounttype,  prepmtpaymenttermscode,  buyfromcontactno, paytocontactno, responsibilitycenter, </t>
  </si>
  <si>
    <t>selltocustomerno, billtocustomerno, billtocity,  billtocontact, shiptocity,  shiptocontact, paymenttermscode,  shipmentmethodcode,  locationcode, shortcutdimenson1code, shortcutdimenson3code, customerpostinggroup,  currencycode,  salespersoncode, orderno,  genbuspostinggroup, vatcountryregioncode, transactiontype, transportmethod,  selltocity, billtopostcode, billtocountry, billtocountryregioncode, selltopostcode,  selltocounty,  shiptopostcode, shiptocounty,  shiptocountryregioncode, balaccounttype,  paymentmethodcode, shippingagentcode,  preassignedno, sourcecode,  vatbuspostinggroup,  prepaymentorderno,  dimensonsetid,  custledgerentryno, selltocontactno, billtocontactno, resonsibilitycenter</t>
  </si>
  <si>
    <t>contactno, city, postcode, county, countryregioncode</t>
  </si>
  <si>
    <t xml:space="preserve">buyfromvendorno, paytovendorno, paytocity, paytocontact,   shiptocode, shiptocity, shiptocountryregioncode,  paymenttermscode,  shipmentmethodcode, locationcode, shortcutdimension1code, shortcutdimenson2code, vendorpostinggroup , currencycode,  invoicedisccode, languagecode, purchasercode, orderno, vendorinvoiceno,  selltocustomerno, reasoncode, genbuspostinggroup, transactiontype, transportmethod, vatcountryregion,  buyfromcity, buyfromcontact, paytopostcode, oaytocounty, paytocountryregioncode, buyfrompostcode, buyfromcounty, buyfromcountryregioncode,  shiptopostcode, shiptocountry, shiptocountry, balaccounttype,  paymentmethodcode,  preassignedno, sourcecode,  vatbuspostinggroup, prepaymentorderno, quoteno, creditorno, dimensonsetid,  remittocode, vendorledgerentryno, buyfromcontactno, paytocontactno, responsibilitycenter, pricecalculationmethod, </t>
  </si>
  <si>
    <t>selltocustomerno,no,   type, locationcode, postinggroup,  unitofmeasure,  shortcutdimenson1code, shortcutdimenson2code, customerpricegroup, orderno, jobno,  shipmentno,  billtocustomerno, genbuspostinggroup, genprodpostinggroup, vatcalculationtype, transactiontype, transactionmethod,  taxcategory,  vatbuspostinggroup, vatprodpostinggroup,  vatidentifier</t>
  </si>
  <si>
    <t xml:space="preserve">documenttype, buyfromvendorno,no , type, locationcode, postinggroup, paytovendorno, genbuspostinggroup, genprodpostinggroup,  vatcalculationtype, transactiontype, transportmethod, vatbuspostinggroup, vatprodpostinggroup, currencycode,  vatidentifier,  fapostingtype,  depreciationbookcode,  maintenancecode,  insuranceno,  budgetedfano,  responsibilitycenter, itemcategorycode </t>
  </si>
  <si>
    <t>documenttype, selltocustomerno, no, type,  locationcode, postinggroup, unitofmeasure,  shortcutdimenson1code, shortcutdimenson2code, customerpricinggroup,  billtocustomerno,  purchaseorderno,  genbuspostinggroup,  genprodpostinggroup, vatcalculationtype,  transactiontype,  transportmethod,  taxcategory, vatbuspostinggroup, vatprodpostinggroup, currencycode, vatidentifier, prepmtvatcalctype, dimensonsetid, bincode, unitofmeasure,  itemcategorycode,  shippingagentcode,  shippingagentservicecode</t>
  </si>
  <si>
    <t xml:space="preserve">buyfromvendorno, no,  type, locationcode, postinggroup, unitofmeasure,  shortcutdimenson1code, shortcutdimenson2code, jobno, receiptno,  orderno, paytovendorno,  vendoritemno, genbuspostinggroup, genprodpostinggroup, vatcalculationtype,  transactiontype, transportmethod,  taxareacode, taxgroupcode,  vatbuspostinggroup, vatprodpostinggroup,  vatidentifier, dimensonsetid, jobtaskno,  jobcurrencycode, defferalcode,   allocationaccountno,  prodorderno, variantcode, bincode,  unitofmeasurecode,  fapostingtype,  depreciationbooktype, maintenancecode, insuranceno,  budgetedfano,  responsibilitycenter,  itemcategorycode,  purchasingcode, </t>
  </si>
  <si>
    <t>Bronze  Partition Key (Business Key)</t>
  </si>
  <si>
    <t>company</t>
  </si>
  <si>
    <t>company,  postingdate</t>
  </si>
  <si>
    <t>company, postingdate</t>
  </si>
  <si>
    <t>cpmpany</t>
  </si>
  <si>
    <t>company, itemcategorycode</t>
  </si>
  <si>
    <t>company, selltocustomerno</t>
  </si>
  <si>
    <t>company, buyfromvendorno</t>
  </si>
  <si>
    <t>company, no</t>
  </si>
  <si>
    <t>company,  no</t>
  </si>
  <si>
    <t>company,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</si>
</sst>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1" fontId="0" fillId="0" borderId="0" xfId="0" applyNumberFormat="1"/>
    <xf numFmtId="0" fontId="0" fillId="0" borderId="0" xfId="0" applyAlignment="1">
      <alignment wrapText="1"/>
    </xf>
    <xf numFmtId="0" fontId="0" fillId="3" borderId="0" xfId="0" applyFill="1"/>
    <xf numFmtId="0" fontId="1" fillId="0" borderId="3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FA2E5-859F-6E43-839A-7719D74E51A6}">
  <dimension ref="A1:T48"/>
  <sheetViews>
    <sheetView topLeftCell="G5" workbookViewId="0">
      <selection activeCell="G2" sqref="G2:G36"/>
    </sheetView>
  </sheetViews>
  <sheetFormatPr baseColWidth="10" defaultColWidth="8.83203125" defaultRowHeight="16" x14ac:dyDescent="0.2"/>
  <cols>
    <col min="1" max="1" width="24.6640625" bestFit="1" customWidth="1"/>
    <col min="2" max="2" width="12.33203125" style="5" bestFit="1" customWidth="1"/>
    <col min="3" max="3" width="13" bestFit="1" customWidth="1"/>
    <col min="4" max="4" width="40.33203125" bestFit="1" customWidth="1"/>
    <col min="5" max="5" width="58" bestFit="1" customWidth="1"/>
    <col min="6" max="6" width="64.1640625" bestFit="1" customWidth="1"/>
    <col min="7" max="7" width="27.5" bestFit="1" customWidth="1"/>
    <col min="8" max="8" width="59.33203125" customWidth="1"/>
    <col min="9" max="9" width="39" customWidth="1"/>
    <col min="10" max="10" width="64.1640625" bestFit="1" customWidth="1"/>
    <col min="11" max="11" width="151.33203125" bestFit="1" customWidth="1"/>
    <col min="12" max="12" width="20.33203125" bestFit="1" customWidth="1"/>
    <col min="13" max="13" width="27.33203125" bestFit="1" customWidth="1"/>
    <col min="14" max="14" width="20.83203125" bestFit="1" customWidth="1"/>
    <col min="15" max="15" width="29.5" bestFit="1" customWidth="1"/>
    <col min="16" max="16" width="20.33203125" bestFit="1" customWidth="1"/>
    <col min="17" max="17" width="29.5" bestFit="1" customWidth="1"/>
    <col min="18" max="18" width="17.6640625" bestFit="1" customWidth="1"/>
    <col min="19" max="19" width="20.5" bestFit="1" customWidth="1"/>
    <col min="20" max="20" width="10" bestFit="1" customWidth="1"/>
  </cols>
  <sheetData>
    <row r="1" spans="1:20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202</v>
      </c>
      <c r="I1" s="1" t="s">
        <v>190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3" t="s">
        <v>17</v>
      </c>
    </row>
    <row r="2" spans="1:20" x14ac:dyDescent="0.2">
      <c r="A2" s="4" t="s">
        <v>18</v>
      </c>
      <c r="B2" s="5" t="str">
        <f t="shared" ref="B2:B48" si="0">TEXT(RIGHT(D2,LEN(D2)-FIND("~",SUBSTITUTE(D2,"-","~",LEN(D2)-LEN(SUBSTITUTE(D2,"-",""))))),"00000")</f>
        <v>00003</v>
      </c>
      <c r="C2" t="s">
        <v>19</v>
      </c>
      <c r="D2" t="s">
        <v>20</v>
      </c>
      <c r="E2" t="s">
        <v>21</v>
      </c>
      <c r="G2" t="str">
        <f>"bc_"&amp;A2</f>
        <v>bc_PaymentTerms</v>
      </c>
      <c r="H2" t="s">
        <v>203</v>
      </c>
      <c r="I2" t="s">
        <v>192</v>
      </c>
    </row>
    <row r="3" spans="1:20" x14ac:dyDescent="0.2">
      <c r="A3" s="4" t="s">
        <v>22</v>
      </c>
      <c r="B3" s="5" t="str">
        <f t="shared" si="0"/>
        <v>00004</v>
      </c>
      <c r="C3" t="s">
        <v>19</v>
      </c>
      <c r="D3" t="s">
        <v>23</v>
      </c>
      <c r="E3" t="s">
        <v>24</v>
      </c>
      <c r="G3" t="str">
        <f t="shared" ref="G3:G48" si="1">"bc_"&amp;A3</f>
        <v>bc_Currency</v>
      </c>
      <c r="H3" t="s">
        <v>203</v>
      </c>
      <c r="I3" t="s">
        <v>192</v>
      </c>
    </row>
    <row r="4" spans="1:20" x14ac:dyDescent="0.2">
      <c r="A4" s="4" t="s">
        <v>25</v>
      </c>
      <c r="B4" s="5" t="str">
        <f t="shared" si="0"/>
        <v>00006</v>
      </c>
      <c r="C4" t="s">
        <v>19</v>
      </c>
      <c r="D4" t="s">
        <v>26</v>
      </c>
      <c r="E4" t="s">
        <v>27</v>
      </c>
      <c r="G4" t="str">
        <f t="shared" si="1"/>
        <v>bc_CustomerPriceGroup</v>
      </c>
      <c r="H4" t="s">
        <v>203</v>
      </c>
      <c r="I4" t="s">
        <v>192</v>
      </c>
    </row>
    <row r="5" spans="1:20" x14ac:dyDescent="0.2">
      <c r="A5" s="4" t="s">
        <v>28</v>
      </c>
      <c r="B5" s="5" t="str">
        <f t="shared" si="0"/>
        <v>00013</v>
      </c>
      <c r="C5" t="s">
        <v>19</v>
      </c>
      <c r="D5" t="s">
        <v>29</v>
      </c>
      <c r="E5" t="s">
        <v>30</v>
      </c>
      <c r="G5" t="str">
        <f t="shared" si="1"/>
        <v>bc_SalespersonPurchaser</v>
      </c>
      <c r="H5" t="s">
        <v>204</v>
      </c>
      <c r="I5" t="s">
        <v>191</v>
      </c>
    </row>
    <row r="6" spans="1:20" x14ac:dyDescent="0.2">
      <c r="A6" s="4" t="s">
        <v>31</v>
      </c>
      <c r="B6" s="5" t="str">
        <f t="shared" si="0"/>
        <v>00014</v>
      </c>
      <c r="C6" t="s">
        <v>19</v>
      </c>
      <c r="D6" t="s">
        <v>32</v>
      </c>
      <c r="E6" t="s">
        <v>30</v>
      </c>
      <c r="G6" t="str">
        <f t="shared" si="1"/>
        <v>bc_Location</v>
      </c>
      <c r="H6" t="s">
        <v>204</v>
      </c>
      <c r="I6" t="s">
        <v>191</v>
      </c>
      <c r="T6" t="s">
        <v>33</v>
      </c>
    </row>
    <row r="7" spans="1:20" x14ac:dyDescent="0.2">
      <c r="A7" s="4" t="s">
        <v>34</v>
      </c>
      <c r="B7" s="5" t="str">
        <f t="shared" si="0"/>
        <v>00015</v>
      </c>
      <c r="C7" t="s">
        <v>19</v>
      </c>
      <c r="D7" t="s">
        <v>35</v>
      </c>
      <c r="E7" t="s">
        <v>30</v>
      </c>
      <c r="G7" t="str">
        <f t="shared" si="1"/>
        <v>bc_GLAccount</v>
      </c>
      <c r="H7" t="s">
        <v>204</v>
      </c>
      <c r="I7" t="s">
        <v>191</v>
      </c>
    </row>
    <row r="8" spans="1:20" x14ac:dyDescent="0.2">
      <c r="A8" t="s">
        <v>36</v>
      </c>
      <c r="B8" s="5" t="str">
        <f t="shared" si="0"/>
        <v>00017</v>
      </c>
      <c r="C8" t="s">
        <v>37</v>
      </c>
      <c r="D8" t="s">
        <v>38</v>
      </c>
      <c r="E8" t="s">
        <v>39</v>
      </c>
      <c r="F8" t="s">
        <v>40</v>
      </c>
      <c r="G8" t="str">
        <f t="shared" si="1"/>
        <v>bc_GLEntry</v>
      </c>
      <c r="H8" t="s">
        <v>205</v>
      </c>
      <c r="I8" t="s">
        <v>193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P8" t="s">
        <v>45</v>
      </c>
      <c r="Q8" t="s">
        <v>46</v>
      </c>
    </row>
    <row r="9" spans="1:20" x14ac:dyDescent="0.2">
      <c r="A9" s="4" t="s">
        <v>47</v>
      </c>
      <c r="B9" s="5" t="str">
        <f t="shared" si="0"/>
        <v>00018</v>
      </c>
      <c r="C9" t="s">
        <v>19</v>
      </c>
      <c r="D9" t="s">
        <v>48</v>
      </c>
      <c r="E9" t="s">
        <v>49</v>
      </c>
      <c r="F9" t="s">
        <v>50</v>
      </c>
      <c r="G9" t="str">
        <f t="shared" si="1"/>
        <v>bc_Customer</v>
      </c>
      <c r="H9" t="s">
        <v>206</v>
      </c>
      <c r="I9" t="s">
        <v>194</v>
      </c>
      <c r="J9" t="s">
        <v>50</v>
      </c>
      <c r="K9" t="s">
        <v>51</v>
      </c>
      <c r="L9" t="s">
        <v>52</v>
      </c>
      <c r="M9" t="s">
        <v>53</v>
      </c>
      <c r="N9" t="s">
        <v>54</v>
      </c>
      <c r="O9" t="s">
        <v>55</v>
      </c>
      <c r="P9" t="s">
        <v>56</v>
      </c>
      <c r="Q9" t="s">
        <v>57</v>
      </c>
    </row>
    <row r="10" spans="1:20" x14ac:dyDescent="0.2">
      <c r="A10" t="s">
        <v>58</v>
      </c>
      <c r="B10" s="5" t="str">
        <f t="shared" si="0"/>
        <v>00021</v>
      </c>
      <c r="C10" t="s">
        <v>37</v>
      </c>
      <c r="D10" t="s">
        <v>59</v>
      </c>
      <c r="E10" t="s">
        <v>39</v>
      </c>
      <c r="G10" t="str">
        <f t="shared" si="1"/>
        <v>bc_CustLedgerEntry</v>
      </c>
      <c r="I10" t="s">
        <v>193</v>
      </c>
    </row>
    <row r="11" spans="1:20" x14ac:dyDescent="0.2">
      <c r="A11" s="4" t="s">
        <v>60</v>
      </c>
      <c r="B11" s="5" t="str">
        <f t="shared" si="0"/>
        <v>00023</v>
      </c>
      <c r="C11" t="s">
        <v>19</v>
      </c>
      <c r="D11" t="s">
        <v>61</v>
      </c>
      <c r="E11" t="s">
        <v>62</v>
      </c>
      <c r="F11" t="s">
        <v>63</v>
      </c>
      <c r="G11" t="str">
        <f t="shared" si="1"/>
        <v>bc_Vendor</v>
      </c>
      <c r="I11" t="s">
        <v>195</v>
      </c>
      <c r="J11" t="s">
        <v>63</v>
      </c>
      <c r="K11" t="s">
        <v>64</v>
      </c>
      <c r="L11" t="s">
        <v>65</v>
      </c>
      <c r="M11" t="s">
        <v>66</v>
      </c>
      <c r="N11" t="s">
        <v>54</v>
      </c>
      <c r="O11" t="s">
        <v>55</v>
      </c>
      <c r="P11" t="s">
        <v>56</v>
      </c>
      <c r="Q11" t="s">
        <v>57</v>
      </c>
    </row>
    <row r="12" spans="1:20" x14ac:dyDescent="0.2">
      <c r="A12" t="s">
        <v>67</v>
      </c>
      <c r="B12" s="5" t="str">
        <f t="shared" si="0"/>
        <v>00025</v>
      </c>
      <c r="C12" t="s">
        <v>37</v>
      </c>
      <c r="D12" t="s">
        <v>68</v>
      </c>
      <c r="E12" t="s">
        <v>39</v>
      </c>
      <c r="G12" t="str">
        <f t="shared" si="1"/>
        <v>bc_VendorLedgerEntry</v>
      </c>
      <c r="I12" t="s">
        <v>193</v>
      </c>
    </row>
    <row r="13" spans="1:20" x14ac:dyDescent="0.2">
      <c r="A13" s="4" t="s">
        <v>69</v>
      </c>
      <c r="B13" s="5" t="str">
        <f t="shared" si="0"/>
        <v>00027</v>
      </c>
      <c r="C13" t="s">
        <v>19</v>
      </c>
      <c r="D13" t="s">
        <v>70</v>
      </c>
      <c r="E13" t="s">
        <v>71</v>
      </c>
      <c r="F13" t="s">
        <v>72</v>
      </c>
      <c r="G13" t="str">
        <f t="shared" si="1"/>
        <v>bc_Item</v>
      </c>
      <c r="I13" t="s">
        <v>196</v>
      </c>
      <c r="J13" t="s">
        <v>72</v>
      </c>
      <c r="K13" t="s">
        <v>73</v>
      </c>
      <c r="L13" t="s">
        <v>74</v>
      </c>
      <c r="N13" t="s">
        <v>75</v>
      </c>
      <c r="O13" t="s">
        <v>76</v>
      </c>
      <c r="P13" t="s">
        <v>77</v>
      </c>
      <c r="Q13" t="s">
        <v>78</v>
      </c>
    </row>
    <row r="14" spans="1:20" x14ac:dyDescent="0.2">
      <c r="A14" t="s">
        <v>79</v>
      </c>
      <c r="B14" s="5" t="str">
        <f t="shared" si="0"/>
        <v>00032</v>
      </c>
      <c r="C14" t="s">
        <v>37</v>
      </c>
      <c r="D14" t="s">
        <v>80</v>
      </c>
      <c r="E14" t="s">
        <v>39</v>
      </c>
      <c r="F14" t="s">
        <v>81</v>
      </c>
      <c r="G14" t="str">
        <f t="shared" si="1"/>
        <v>bc_ItemLedgerEntry</v>
      </c>
      <c r="I14" t="s">
        <v>197</v>
      </c>
      <c r="J14" t="s">
        <v>81</v>
      </c>
      <c r="K14" t="s">
        <v>82</v>
      </c>
      <c r="L14" t="s">
        <v>83</v>
      </c>
      <c r="M14" t="s">
        <v>84</v>
      </c>
      <c r="N14" t="s">
        <v>85</v>
      </c>
      <c r="O14" t="s">
        <v>86</v>
      </c>
      <c r="P14" t="s">
        <v>44</v>
      </c>
    </row>
    <row r="15" spans="1:20" x14ac:dyDescent="0.2">
      <c r="A15" t="s">
        <v>87</v>
      </c>
      <c r="B15" s="5" t="str">
        <f t="shared" si="0"/>
        <v>00036</v>
      </c>
      <c r="C15" t="s">
        <v>37</v>
      </c>
      <c r="D15" t="s">
        <v>88</v>
      </c>
      <c r="E15" t="s">
        <v>89</v>
      </c>
      <c r="F15" t="s">
        <v>90</v>
      </c>
      <c r="G15" t="str">
        <f t="shared" si="1"/>
        <v>bc_SalesHeader</v>
      </c>
      <c r="I15" t="s">
        <v>196</v>
      </c>
      <c r="J15" t="s">
        <v>90</v>
      </c>
      <c r="K15" t="s">
        <v>91</v>
      </c>
      <c r="L15" t="s">
        <v>92</v>
      </c>
      <c r="N15" t="s">
        <v>93</v>
      </c>
      <c r="P15" t="s">
        <v>45</v>
      </c>
      <c r="Q15" t="s">
        <v>46</v>
      </c>
      <c r="R15" t="s">
        <v>94</v>
      </c>
      <c r="S15" t="s">
        <v>95</v>
      </c>
    </row>
    <row r="16" spans="1:20" x14ac:dyDescent="0.2">
      <c r="A16" t="s">
        <v>96</v>
      </c>
      <c r="B16" s="5" t="str">
        <f t="shared" si="0"/>
        <v>00037</v>
      </c>
      <c r="C16" t="s">
        <v>37</v>
      </c>
      <c r="D16" t="s">
        <v>97</v>
      </c>
      <c r="E16" t="s">
        <v>89</v>
      </c>
      <c r="F16" t="s">
        <v>98</v>
      </c>
      <c r="G16" t="str">
        <f t="shared" si="1"/>
        <v>bc_SalesLine</v>
      </c>
      <c r="I16" t="s">
        <v>199</v>
      </c>
      <c r="J16" t="s">
        <v>98</v>
      </c>
      <c r="K16" t="s">
        <v>99</v>
      </c>
      <c r="L16" t="s">
        <v>83</v>
      </c>
      <c r="M16" t="s">
        <v>84</v>
      </c>
      <c r="N16" t="s">
        <v>85</v>
      </c>
      <c r="O16" t="s">
        <v>86</v>
      </c>
      <c r="P16" t="s">
        <v>100</v>
      </c>
      <c r="Q16" t="s">
        <v>101</v>
      </c>
    </row>
    <row r="17" spans="1:19" x14ac:dyDescent="0.2">
      <c r="A17" t="s">
        <v>102</v>
      </c>
      <c r="B17" s="5" t="str">
        <f t="shared" si="0"/>
        <v>00038</v>
      </c>
      <c r="C17" t="s">
        <v>37</v>
      </c>
      <c r="D17" t="s">
        <v>103</v>
      </c>
      <c r="E17" t="s">
        <v>89</v>
      </c>
      <c r="F17" t="s">
        <v>104</v>
      </c>
      <c r="G17" t="str">
        <f t="shared" si="1"/>
        <v>bc_PurchaseHeader</v>
      </c>
      <c r="I17" t="s">
        <v>196</v>
      </c>
      <c r="J17" t="s">
        <v>104</v>
      </c>
      <c r="K17" t="s">
        <v>91</v>
      </c>
      <c r="L17" t="s">
        <v>105</v>
      </c>
      <c r="N17" t="s">
        <v>106</v>
      </c>
      <c r="P17" t="s">
        <v>45</v>
      </c>
      <c r="Q17" t="s">
        <v>46</v>
      </c>
      <c r="R17" t="s">
        <v>94</v>
      </c>
      <c r="S17" t="s">
        <v>95</v>
      </c>
    </row>
    <row r="18" spans="1:19" x14ac:dyDescent="0.2">
      <c r="A18" t="s">
        <v>107</v>
      </c>
      <c r="B18" s="5" t="str">
        <f t="shared" si="0"/>
        <v>00039</v>
      </c>
      <c r="C18" t="s">
        <v>37</v>
      </c>
      <c r="D18" t="s">
        <v>108</v>
      </c>
      <c r="E18" t="s">
        <v>109</v>
      </c>
      <c r="F18" t="s">
        <v>98</v>
      </c>
      <c r="G18" t="str">
        <f t="shared" si="1"/>
        <v>bc_PurchaseLine</v>
      </c>
      <c r="I18" t="s">
        <v>199</v>
      </c>
      <c r="J18" t="s">
        <v>98</v>
      </c>
      <c r="K18" t="s">
        <v>99</v>
      </c>
      <c r="L18" t="s">
        <v>83</v>
      </c>
      <c r="M18" t="s">
        <v>84</v>
      </c>
      <c r="N18" t="s">
        <v>85</v>
      </c>
      <c r="O18" t="s">
        <v>86</v>
      </c>
      <c r="P18" t="s">
        <v>100</v>
      </c>
      <c r="Q18" t="s">
        <v>101</v>
      </c>
    </row>
    <row r="19" spans="1:19" ht="17" x14ac:dyDescent="0.2">
      <c r="A19" s="4" t="s">
        <v>110</v>
      </c>
      <c r="B19" s="5" t="str">
        <f t="shared" si="0"/>
        <v>00050</v>
      </c>
      <c r="C19" t="s">
        <v>19</v>
      </c>
      <c r="D19" t="s">
        <v>111</v>
      </c>
      <c r="E19" s="6" t="s">
        <v>112</v>
      </c>
      <c r="G19" t="str">
        <f t="shared" si="1"/>
        <v>bc_AccountingPeriod</v>
      </c>
      <c r="I19" t="s">
        <v>200</v>
      </c>
    </row>
    <row r="20" spans="1:19" x14ac:dyDescent="0.2">
      <c r="A20" s="4" t="s">
        <v>113</v>
      </c>
      <c r="B20" s="5" t="str">
        <f t="shared" si="0"/>
        <v>00092</v>
      </c>
      <c r="C20" t="s">
        <v>19</v>
      </c>
      <c r="D20" t="s">
        <v>114</v>
      </c>
      <c r="E20" t="s">
        <v>115</v>
      </c>
      <c r="G20" t="str">
        <f t="shared" si="1"/>
        <v>bc_CustomerPostingGroup</v>
      </c>
    </row>
    <row r="21" spans="1:19" x14ac:dyDescent="0.2">
      <c r="A21" s="4" t="s">
        <v>116</v>
      </c>
      <c r="B21" s="5" t="str">
        <f t="shared" si="0"/>
        <v>00093</v>
      </c>
      <c r="C21" t="s">
        <v>19</v>
      </c>
      <c r="D21" t="s">
        <v>117</v>
      </c>
      <c r="E21" t="s">
        <v>118</v>
      </c>
      <c r="G21" t="str">
        <f t="shared" si="1"/>
        <v>bc_VendorPostingGroup</v>
      </c>
    </row>
    <row r="22" spans="1:19" x14ac:dyDescent="0.2">
      <c r="A22" s="4" t="s">
        <v>119</v>
      </c>
      <c r="B22" s="5" t="str">
        <f t="shared" si="0"/>
        <v>00094</v>
      </c>
      <c r="C22" t="s">
        <v>19</v>
      </c>
      <c r="D22" t="s">
        <v>120</v>
      </c>
      <c r="E22" t="s">
        <v>118</v>
      </c>
      <c r="G22" t="str">
        <f t="shared" si="1"/>
        <v>bc_InventoryPostingGroup</v>
      </c>
    </row>
    <row r="23" spans="1:19" x14ac:dyDescent="0.2">
      <c r="A23" t="s">
        <v>121</v>
      </c>
      <c r="B23" s="5" t="str">
        <f t="shared" si="0"/>
        <v>00112</v>
      </c>
      <c r="C23" t="s">
        <v>37</v>
      </c>
      <c r="D23" t="s">
        <v>122</v>
      </c>
      <c r="E23" t="s">
        <v>123</v>
      </c>
      <c r="G23" t="str">
        <f t="shared" si="1"/>
        <v>bc_SalesInvoiceHeader</v>
      </c>
    </row>
    <row r="24" spans="1:19" x14ac:dyDescent="0.2">
      <c r="A24" t="s">
        <v>124</v>
      </c>
      <c r="B24" s="5" t="str">
        <f t="shared" si="0"/>
        <v>00113</v>
      </c>
      <c r="C24" t="s">
        <v>37</v>
      </c>
      <c r="D24" t="s">
        <v>125</v>
      </c>
      <c r="E24" t="s">
        <v>126</v>
      </c>
      <c r="G24" t="str">
        <f t="shared" si="1"/>
        <v>bc_SalesInvoiceLine</v>
      </c>
    </row>
    <row r="25" spans="1:19" x14ac:dyDescent="0.2">
      <c r="A25" t="s">
        <v>127</v>
      </c>
      <c r="B25" s="5" t="str">
        <f t="shared" si="0"/>
        <v>00122</v>
      </c>
      <c r="C25" t="s">
        <v>37</v>
      </c>
      <c r="D25" t="s">
        <v>128</v>
      </c>
      <c r="E25" t="s">
        <v>129</v>
      </c>
      <c r="G25" t="str">
        <f t="shared" si="1"/>
        <v>bc_PurchInvHeader</v>
      </c>
    </row>
    <row r="26" spans="1:19" x14ac:dyDescent="0.2">
      <c r="A26" t="s">
        <v>130</v>
      </c>
      <c r="B26" s="5" t="str">
        <f t="shared" si="0"/>
        <v>00123</v>
      </c>
      <c r="C26" t="s">
        <v>37</v>
      </c>
      <c r="D26" t="s">
        <v>131</v>
      </c>
      <c r="E26" t="s">
        <v>132</v>
      </c>
      <c r="G26" t="str">
        <f t="shared" si="1"/>
        <v>bc_PurchInvLine</v>
      </c>
    </row>
    <row r="27" spans="1:19" x14ac:dyDescent="0.2">
      <c r="A27" s="4" t="s">
        <v>133</v>
      </c>
      <c r="B27" s="5" t="str">
        <f t="shared" si="0"/>
        <v>00204</v>
      </c>
      <c r="C27" t="s">
        <v>19</v>
      </c>
      <c r="D27" t="s">
        <v>134</v>
      </c>
      <c r="E27" t="s">
        <v>118</v>
      </c>
      <c r="G27" t="str">
        <f t="shared" si="1"/>
        <v>bc_UnitofMeasure</v>
      </c>
    </row>
    <row r="28" spans="1:19" x14ac:dyDescent="0.2">
      <c r="A28" s="4" t="s">
        <v>135</v>
      </c>
      <c r="B28" s="5" t="str">
        <f t="shared" si="0"/>
        <v>00250</v>
      </c>
      <c r="C28" t="s">
        <v>19</v>
      </c>
      <c r="D28" t="s">
        <v>136</v>
      </c>
      <c r="E28" t="s">
        <v>118</v>
      </c>
      <c r="G28" t="str">
        <f t="shared" si="1"/>
        <v>bc_GenBusinessPostingGroup</v>
      </c>
    </row>
    <row r="29" spans="1:19" x14ac:dyDescent="0.2">
      <c r="A29" s="4" t="s">
        <v>137</v>
      </c>
      <c r="B29" s="5" t="str">
        <f t="shared" si="0"/>
        <v>00251</v>
      </c>
      <c r="C29" t="s">
        <v>19</v>
      </c>
      <c r="D29" t="s">
        <v>138</v>
      </c>
      <c r="E29" t="s">
        <v>118</v>
      </c>
      <c r="G29" t="str">
        <f t="shared" si="1"/>
        <v>bc_GenProductPostingGroup</v>
      </c>
    </row>
    <row r="30" spans="1:19" x14ac:dyDescent="0.2">
      <c r="A30" s="4" t="s">
        <v>139</v>
      </c>
      <c r="B30" s="5" t="str">
        <f t="shared" si="0"/>
        <v>00323</v>
      </c>
      <c r="C30" t="s">
        <v>19</v>
      </c>
      <c r="D30" t="s">
        <v>140</v>
      </c>
      <c r="E30" t="s">
        <v>118</v>
      </c>
      <c r="G30" t="str">
        <f t="shared" si="1"/>
        <v>bc_VATBusinessPostingGroup</v>
      </c>
    </row>
    <row r="31" spans="1:19" x14ac:dyDescent="0.2">
      <c r="A31" s="4" t="s">
        <v>141</v>
      </c>
      <c r="B31" s="5" t="str">
        <f t="shared" si="0"/>
        <v>00324</v>
      </c>
      <c r="C31" t="s">
        <v>19</v>
      </c>
      <c r="D31" t="s">
        <v>142</v>
      </c>
      <c r="E31" t="s">
        <v>118</v>
      </c>
      <c r="G31" t="str">
        <f t="shared" si="1"/>
        <v>bc_VATProductPostingGroup</v>
      </c>
    </row>
    <row r="32" spans="1:19" x14ac:dyDescent="0.2">
      <c r="A32" s="4" t="s">
        <v>143</v>
      </c>
      <c r="B32" s="5" t="str">
        <f t="shared" si="0"/>
        <v>05200</v>
      </c>
      <c r="C32" t="s">
        <v>19</v>
      </c>
      <c r="D32" t="s">
        <v>144</v>
      </c>
      <c r="E32" t="s">
        <v>145</v>
      </c>
      <c r="G32" t="str">
        <f t="shared" si="1"/>
        <v>bc_Employee</v>
      </c>
    </row>
    <row r="33" spans="1:15" x14ac:dyDescent="0.2">
      <c r="A33" s="4" t="s">
        <v>146</v>
      </c>
      <c r="B33" s="5" t="str">
        <f t="shared" si="0"/>
        <v>05600</v>
      </c>
      <c r="C33" t="s">
        <v>19</v>
      </c>
      <c r="D33" t="s">
        <v>147</v>
      </c>
      <c r="E33" t="s">
        <v>118</v>
      </c>
      <c r="G33" t="str">
        <f t="shared" si="1"/>
        <v>bc_FixedAsset</v>
      </c>
    </row>
    <row r="34" spans="1:15" x14ac:dyDescent="0.2">
      <c r="A34" t="s">
        <v>148</v>
      </c>
      <c r="B34" s="5" t="str">
        <f t="shared" si="0"/>
        <v>05601</v>
      </c>
      <c r="C34" t="s">
        <v>37</v>
      </c>
      <c r="D34" t="s">
        <v>149</v>
      </c>
      <c r="E34" t="s">
        <v>150</v>
      </c>
      <c r="G34" t="str">
        <f t="shared" si="1"/>
        <v>bc_FALedgerEntry</v>
      </c>
    </row>
    <row r="35" spans="1:15" x14ac:dyDescent="0.2">
      <c r="A35" s="4" t="s">
        <v>151</v>
      </c>
      <c r="B35" s="5" t="str">
        <f t="shared" si="0"/>
        <v>05606</v>
      </c>
      <c r="C35" t="s">
        <v>19</v>
      </c>
      <c r="D35" t="s">
        <v>152</v>
      </c>
      <c r="E35" t="s">
        <v>150</v>
      </c>
      <c r="G35" t="str">
        <f t="shared" si="1"/>
        <v>bc_FAPostingGroup</v>
      </c>
    </row>
    <row r="36" spans="1:15" x14ac:dyDescent="0.2">
      <c r="A36" s="4" t="s">
        <v>153</v>
      </c>
      <c r="B36" s="5" t="str">
        <f t="shared" si="0"/>
        <v>05607</v>
      </c>
      <c r="C36" t="s">
        <v>19</v>
      </c>
      <c r="D36" t="s">
        <v>154</v>
      </c>
      <c r="E36" t="s">
        <v>30</v>
      </c>
      <c r="G36" t="str">
        <f t="shared" si="1"/>
        <v>bc_FAClass</v>
      </c>
    </row>
    <row r="37" spans="1:15" x14ac:dyDescent="0.2">
      <c r="A37" s="4" t="s">
        <v>155</v>
      </c>
      <c r="B37" s="5" t="str">
        <f t="shared" si="0"/>
        <v>05608</v>
      </c>
      <c r="C37" t="s">
        <v>19</v>
      </c>
      <c r="D37" t="s">
        <v>156</v>
      </c>
      <c r="E37" t="s">
        <v>30</v>
      </c>
      <c r="G37" t="str">
        <f t="shared" si="1"/>
        <v>bc_FASubclass</v>
      </c>
    </row>
    <row r="38" spans="1:15" x14ac:dyDescent="0.2">
      <c r="A38" s="4" t="s">
        <v>157</v>
      </c>
      <c r="B38" s="5" t="str">
        <f t="shared" si="0"/>
        <v>05609</v>
      </c>
      <c r="C38" t="s">
        <v>19</v>
      </c>
      <c r="D38" t="s">
        <v>158</v>
      </c>
      <c r="E38" t="s">
        <v>30</v>
      </c>
      <c r="G38" t="str">
        <f t="shared" si="1"/>
        <v>bc_FALocation</v>
      </c>
    </row>
    <row r="39" spans="1:15" x14ac:dyDescent="0.2">
      <c r="A39" t="s">
        <v>159</v>
      </c>
      <c r="B39" s="5" t="str">
        <f t="shared" si="0"/>
        <v>05611</v>
      </c>
      <c r="C39" t="s">
        <v>37</v>
      </c>
      <c r="D39" t="s">
        <v>160</v>
      </c>
      <c r="E39" t="s">
        <v>150</v>
      </c>
      <c r="G39" t="str">
        <f t="shared" si="1"/>
        <v>bc_DepreciationBook</v>
      </c>
    </row>
    <row r="40" spans="1:15" x14ac:dyDescent="0.2">
      <c r="A40" t="s">
        <v>161</v>
      </c>
      <c r="B40" s="5" t="str">
        <f t="shared" si="0"/>
        <v>05612</v>
      </c>
      <c r="C40" t="s">
        <v>37</v>
      </c>
      <c r="D40" t="s">
        <v>162</v>
      </c>
      <c r="E40" t="s">
        <v>163</v>
      </c>
      <c r="G40" t="str">
        <f t="shared" si="1"/>
        <v>bc_FADepreciationBook</v>
      </c>
    </row>
    <row r="41" spans="1:15" x14ac:dyDescent="0.2">
      <c r="A41" s="4" t="s">
        <v>164</v>
      </c>
      <c r="B41" s="5" t="str">
        <f t="shared" si="0"/>
        <v>05617</v>
      </c>
      <c r="C41" t="s">
        <v>19</v>
      </c>
      <c r="D41" t="s">
        <v>165</v>
      </c>
      <c r="E41" t="s">
        <v>129</v>
      </c>
      <c r="G41" t="str">
        <f t="shared" si="1"/>
        <v>bc_FARegister</v>
      </c>
    </row>
    <row r="42" spans="1:15" ht="34" x14ac:dyDescent="0.2">
      <c r="A42" t="s">
        <v>166</v>
      </c>
      <c r="B42" s="5" t="str">
        <f t="shared" si="0"/>
        <v>05621</v>
      </c>
      <c r="C42" t="s">
        <v>37</v>
      </c>
      <c r="D42" t="s">
        <v>167</v>
      </c>
      <c r="E42" s="6" t="s">
        <v>168</v>
      </c>
      <c r="G42" t="str">
        <f t="shared" si="1"/>
        <v>bc_FAJournalLine</v>
      </c>
    </row>
    <row r="43" spans="1:15" x14ac:dyDescent="0.2">
      <c r="A43" t="s">
        <v>169</v>
      </c>
      <c r="B43" s="5" t="str">
        <f t="shared" si="0"/>
        <v>05624</v>
      </c>
      <c r="C43" t="s">
        <v>37</v>
      </c>
      <c r="D43" t="s">
        <v>170</v>
      </c>
      <c r="E43" t="s">
        <v>150</v>
      </c>
      <c r="G43" t="str">
        <f t="shared" si="1"/>
        <v>bc_FAReclassJournalLine</v>
      </c>
    </row>
    <row r="44" spans="1:15" x14ac:dyDescent="0.2">
      <c r="A44" s="4" t="s">
        <v>171</v>
      </c>
      <c r="B44" s="5" t="str">
        <f t="shared" si="0"/>
        <v>05644</v>
      </c>
      <c r="C44" t="s">
        <v>19</v>
      </c>
      <c r="D44" t="s">
        <v>172</v>
      </c>
      <c r="E44" t="s">
        <v>173</v>
      </c>
      <c r="G44" t="str">
        <f t="shared" si="1"/>
        <v>bc_FAPostingType</v>
      </c>
    </row>
    <row r="45" spans="1:15" x14ac:dyDescent="0.2">
      <c r="A45" s="4" t="s">
        <v>174</v>
      </c>
      <c r="B45" s="5" t="str">
        <f t="shared" si="0"/>
        <v>05720</v>
      </c>
      <c r="C45" t="s">
        <v>19</v>
      </c>
      <c r="D45" t="s">
        <v>175</v>
      </c>
      <c r="E45" t="s">
        <v>176</v>
      </c>
      <c r="G45" t="str">
        <f t="shared" si="1"/>
        <v>bc_Manufacturer</v>
      </c>
    </row>
    <row r="46" spans="1:15" x14ac:dyDescent="0.2">
      <c r="A46" s="4" t="s">
        <v>177</v>
      </c>
      <c r="B46" s="5" t="str">
        <f t="shared" si="0"/>
        <v>05722</v>
      </c>
      <c r="C46" t="s">
        <v>19</v>
      </c>
      <c r="D46" t="s">
        <v>178</v>
      </c>
      <c r="E46" t="s">
        <v>179</v>
      </c>
      <c r="G46" t="str">
        <f t="shared" si="1"/>
        <v>bc_ItemCategory</v>
      </c>
    </row>
    <row r="47" spans="1:15" x14ac:dyDescent="0.2">
      <c r="A47" t="s">
        <v>180</v>
      </c>
      <c r="B47" s="5" t="str">
        <f t="shared" si="0"/>
        <v>05802</v>
      </c>
      <c r="C47" t="s">
        <v>37</v>
      </c>
      <c r="D47" t="s">
        <v>181</v>
      </c>
      <c r="E47" t="s">
        <v>182</v>
      </c>
      <c r="F47" t="s">
        <v>183</v>
      </c>
      <c r="G47" t="str">
        <f t="shared" si="1"/>
        <v>bc_ValueEntry</v>
      </c>
      <c r="J47" t="s">
        <v>183</v>
      </c>
      <c r="K47" t="s">
        <v>82</v>
      </c>
      <c r="L47" t="s">
        <v>83</v>
      </c>
      <c r="M47" t="s">
        <v>84</v>
      </c>
      <c r="N47" t="s">
        <v>85</v>
      </c>
      <c r="O47" t="s">
        <v>86</v>
      </c>
    </row>
    <row r="48" spans="1:15" x14ac:dyDescent="0.2">
      <c r="A48" s="4" t="s">
        <v>184</v>
      </c>
      <c r="B48" s="5" t="str">
        <f t="shared" si="0"/>
        <v>28041</v>
      </c>
      <c r="C48" t="s">
        <v>19</v>
      </c>
      <c r="D48" t="s">
        <v>185</v>
      </c>
      <c r="E48" t="s">
        <v>118</v>
      </c>
      <c r="G48" t="str">
        <f t="shared" si="1"/>
        <v>bc_WHTProductPostingGroup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2A4A-7349-FF40-A839-841302118E9B}">
  <dimension ref="A1:F23"/>
  <sheetViews>
    <sheetView tabSelected="1" workbookViewId="0">
      <pane xSplit="1" topLeftCell="E1" activePane="topRight" state="frozen"/>
      <selection pane="topRight" activeCell="E24" sqref="E24"/>
    </sheetView>
  </sheetViews>
  <sheetFormatPr baseColWidth="10" defaultRowHeight="16" x14ac:dyDescent="0.2"/>
  <cols>
    <col min="1" max="1" width="13" bestFit="1" customWidth="1"/>
    <col min="2" max="2" width="59.33203125" bestFit="1" customWidth="1"/>
    <col min="3" max="3" width="59.33203125" customWidth="1"/>
    <col min="4" max="4" width="39" customWidth="1"/>
    <col min="5" max="5" width="147.83203125" bestFit="1" customWidth="1"/>
    <col min="6" max="6" width="29.33203125" bestFit="1" customWidth="1"/>
  </cols>
  <sheetData>
    <row r="1" spans="1:6" x14ac:dyDescent="0.2">
      <c r="A1" s="9" t="s">
        <v>207</v>
      </c>
      <c r="B1" s="1" t="s">
        <v>201</v>
      </c>
      <c r="C1" s="1" t="s">
        <v>202</v>
      </c>
      <c r="D1" s="1" t="s">
        <v>190</v>
      </c>
      <c r="E1" s="8" t="s">
        <v>216</v>
      </c>
      <c r="F1" s="8" t="s">
        <v>235</v>
      </c>
    </row>
    <row r="2" spans="1:6" x14ac:dyDescent="0.2">
      <c r="A2" t="s">
        <v>18</v>
      </c>
      <c r="B2" t="s">
        <v>189</v>
      </c>
      <c r="C2" t="s">
        <v>203</v>
      </c>
      <c r="D2" t="s">
        <v>192</v>
      </c>
      <c r="F2" t="s">
        <v>189</v>
      </c>
    </row>
    <row r="3" spans="1:6" x14ac:dyDescent="0.2">
      <c r="A3" t="s">
        <v>22</v>
      </c>
      <c r="B3" t="s">
        <v>189</v>
      </c>
      <c r="C3" t="s">
        <v>203</v>
      </c>
      <c r="D3" t="s">
        <v>192</v>
      </c>
      <c r="F3" t="s">
        <v>189</v>
      </c>
    </row>
    <row r="4" spans="1:6" s="7" customFormat="1" x14ac:dyDescent="0.2">
      <c r="A4" s="7" t="s">
        <v>28</v>
      </c>
      <c r="B4" s="7" t="s">
        <v>189</v>
      </c>
      <c r="C4" s="7" t="s">
        <v>204</v>
      </c>
      <c r="D4" s="7" t="s">
        <v>191</v>
      </c>
      <c r="E4" s="7" t="s">
        <v>215</v>
      </c>
      <c r="F4" s="7" t="s">
        <v>236</v>
      </c>
    </row>
    <row r="5" spans="1:6" x14ac:dyDescent="0.2">
      <c r="A5" t="s">
        <v>31</v>
      </c>
      <c r="B5" t="s">
        <v>189</v>
      </c>
      <c r="C5" t="s">
        <v>204</v>
      </c>
      <c r="D5" t="s">
        <v>191</v>
      </c>
      <c r="E5" t="s">
        <v>217</v>
      </c>
      <c r="F5" t="s">
        <v>236</v>
      </c>
    </row>
    <row r="6" spans="1:6" x14ac:dyDescent="0.2">
      <c r="A6" t="s">
        <v>34</v>
      </c>
      <c r="B6" t="s">
        <v>189</v>
      </c>
      <c r="C6" t="s">
        <v>204</v>
      </c>
      <c r="D6" t="s">
        <v>191</v>
      </c>
      <c r="E6" t="s">
        <v>218</v>
      </c>
      <c r="F6" t="s">
        <v>236</v>
      </c>
    </row>
    <row r="7" spans="1:6" x14ac:dyDescent="0.2">
      <c r="A7" t="s">
        <v>36</v>
      </c>
      <c r="B7" t="s">
        <v>186</v>
      </c>
      <c r="C7" t="s">
        <v>205</v>
      </c>
      <c r="D7" t="s">
        <v>193</v>
      </c>
      <c r="E7" t="s">
        <v>219</v>
      </c>
      <c r="F7" t="s">
        <v>237</v>
      </c>
    </row>
    <row r="8" spans="1:6" x14ac:dyDescent="0.2">
      <c r="A8" t="s">
        <v>47</v>
      </c>
      <c r="B8" t="s">
        <v>187</v>
      </c>
      <c r="C8" t="s">
        <v>206</v>
      </c>
      <c r="D8" t="s">
        <v>194</v>
      </c>
      <c r="E8" t="s">
        <v>220</v>
      </c>
      <c r="F8" t="s">
        <v>236</v>
      </c>
    </row>
    <row r="9" spans="1:6" x14ac:dyDescent="0.2">
      <c r="A9" t="s">
        <v>58</v>
      </c>
      <c r="B9" t="s">
        <v>186</v>
      </c>
      <c r="C9" t="s">
        <v>205</v>
      </c>
      <c r="D9" t="s">
        <v>193</v>
      </c>
      <c r="E9" t="s">
        <v>221</v>
      </c>
      <c r="F9" t="s">
        <v>238</v>
      </c>
    </row>
    <row r="10" spans="1:6" x14ac:dyDescent="0.2">
      <c r="A10" t="s">
        <v>60</v>
      </c>
      <c r="B10" t="s">
        <v>187</v>
      </c>
      <c r="C10" t="s">
        <v>206</v>
      </c>
      <c r="D10" t="s">
        <v>195</v>
      </c>
      <c r="E10" t="s">
        <v>222</v>
      </c>
      <c r="F10" t="s">
        <v>239</v>
      </c>
    </row>
    <row r="11" spans="1:6" x14ac:dyDescent="0.2">
      <c r="A11" t="s">
        <v>67</v>
      </c>
      <c r="B11" t="s">
        <v>186</v>
      </c>
      <c r="C11" t="s">
        <v>205</v>
      </c>
      <c r="D11" t="s">
        <v>208</v>
      </c>
      <c r="E11" t="s">
        <v>223</v>
      </c>
      <c r="F11" t="s">
        <v>238</v>
      </c>
    </row>
    <row r="12" spans="1:6" x14ac:dyDescent="0.2">
      <c r="A12" t="s">
        <v>69</v>
      </c>
      <c r="B12" t="s">
        <v>187</v>
      </c>
      <c r="C12" t="s">
        <v>206</v>
      </c>
      <c r="D12" t="s">
        <v>196</v>
      </c>
      <c r="E12" t="s">
        <v>224</v>
      </c>
      <c r="F12" t="s">
        <v>240</v>
      </c>
    </row>
    <row r="13" spans="1:6" x14ac:dyDescent="0.2">
      <c r="A13" t="s">
        <v>79</v>
      </c>
      <c r="B13" t="s">
        <v>186</v>
      </c>
      <c r="C13" t="s">
        <v>209</v>
      </c>
      <c r="D13" t="s">
        <v>210</v>
      </c>
      <c r="E13" t="s">
        <v>225</v>
      </c>
      <c r="F13" t="s">
        <v>238</v>
      </c>
    </row>
    <row r="14" spans="1:6" x14ac:dyDescent="0.2">
      <c r="A14" t="s">
        <v>87</v>
      </c>
      <c r="B14" t="s">
        <v>187</v>
      </c>
      <c r="C14" t="s">
        <v>206</v>
      </c>
      <c r="D14" t="s">
        <v>196</v>
      </c>
      <c r="E14" t="s">
        <v>226</v>
      </c>
      <c r="F14" t="s">
        <v>241</v>
      </c>
    </row>
    <row r="15" spans="1:6" x14ac:dyDescent="0.2">
      <c r="A15" t="s">
        <v>96</v>
      </c>
      <c r="B15" t="s">
        <v>198</v>
      </c>
      <c r="C15" t="s">
        <v>211</v>
      </c>
      <c r="D15" t="s">
        <v>199</v>
      </c>
      <c r="E15" t="s">
        <v>233</v>
      </c>
      <c r="F15" t="s">
        <v>236</v>
      </c>
    </row>
    <row r="16" spans="1:6" s="7" customFormat="1" x14ac:dyDescent="0.2">
      <c r="A16" s="7" t="s">
        <v>102</v>
      </c>
      <c r="B16" s="7" t="s">
        <v>187</v>
      </c>
      <c r="C16" s="7" t="s">
        <v>206</v>
      </c>
      <c r="D16" s="7" t="s">
        <v>196</v>
      </c>
      <c r="E16" s="7" t="s">
        <v>227</v>
      </c>
      <c r="F16" s="7" t="s">
        <v>242</v>
      </c>
    </row>
    <row r="17" spans="1:6" x14ac:dyDescent="0.2">
      <c r="A17" t="s">
        <v>107</v>
      </c>
      <c r="B17" t="s">
        <v>188</v>
      </c>
      <c r="C17" t="s">
        <v>211</v>
      </c>
      <c r="D17" t="s">
        <v>199</v>
      </c>
      <c r="E17" t="s">
        <v>232</v>
      </c>
      <c r="F17" t="s">
        <v>244</v>
      </c>
    </row>
    <row r="18" spans="1:6" x14ac:dyDescent="0.2">
      <c r="A18" t="s">
        <v>121</v>
      </c>
      <c r="B18" t="s">
        <v>187</v>
      </c>
      <c r="C18" t="s">
        <v>206</v>
      </c>
      <c r="D18" t="s">
        <v>196</v>
      </c>
      <c r="E18" t="s">
        <v>228</v>
      </c>
      <c r="F18" t="s">
        <v>241</v>
      </c>
    </row>
    <row r="19" spans="1:6" x14ac:dyDescent="0.2">
      <c r="A19" t="s">
        <v>124</v>
      </c>
      <c r="B19" t="s">
        <v>188</v>
      </c>
      <c r="C19" t="s">
        <v>211</v>
      </c>
      <c r="D19" t="s">
        <v>199</v>
      </c>
      <c r="E19" t="s">
        <v>231</v>
      </c>
      <c r="F19" t="s">
        <v>243</v>
      </c>
    </row>
    <row r="20" spans="1:6" x14ac:dyDescent="0.2">
      <c r="A20" t="s">
        <v>127</v>
      </c>
      <c r="B20" t="s">
        <v>187</v>
      </c>
      <c r="C20" t="s">
        <v>206</v>
      </c>
      <c r="D20" t="s">
        <v>196</v>
      </c>
      <c r="E20" t="s">
        <v>230</v>
      </c>
      <c r="F20" t="s">
        <v>242</v>
      </c>
    </row>
    <row r="21" spans="1:6" x14ac:dyDescent="0.2">
      <c r="A21" t="s">
        <v>130</v>
      </c>
      <c r="B21" t="s">
        <v>214</v>
      </c>
      <c r="C21" t="s">
        <v>211</v>
      </c>
      <c r="D21" t="s">
        <v>199</v>
      </c>
      <c r="E21" t="s">
        <v>234</v>
      </c>
      <c r="F21" t="s">
        <v>243</v>
      </c>
    </row>
    <row r="22" spans="1:6" x14ac:dyDescent="0.2">
      <c r="A22" t="s">
        <v>212</v>
      </c>
      <c r="B22" t="s">
        <v>187</v>
      </c>
      <c r="C22" t="s">
        <v>206</v>
      </c>
      <c r="D22" t="s">
        <v>195</v>
      </c>
      <c r="E22" t="s">
        <v>229</v>
      </c>
      <c r="F22" t="s">
        <v>245</v>
      </c>
    </row>
    <row r="23" spans="1:6" x14ac:dyDescent="0.2">
      <c r="A23" t="s">
        <v>213</v>
      </c>
      <c r="B23" t="s">
        <v>187</v>
      </c>
      <c r="C23" t="s">
        <v>206</v>
      </c>
      <c r="D23" t="s">
        <v>195</v>
      </c>
      <c r="E23" t="s">
        <v>229</v>
      </c>
      <c r="F23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</vt:lpstr>
      <vt:lpstr>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Abetz</dc:creator>
  <cp:lastModifiedBy>Charles Abetz</cp:lastModifiedBy>
  <dcterms:created xsi:type="dcterms:W3CDTF">2025-11-25T21:48:35Z</dcterms:created>
  <dcterms:modified xsi:type="dcterms:W3CDTF">2025-11-27T04:09:40Z</dcterms:modified>
</cp:coreProperties>
</file>